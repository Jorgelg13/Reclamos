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jorge\Downloads\"/>
    </mc:Choice>
  </mc:AlternateContent>
  <xr:revisionPtr revIDLastSave="0" documentId="13_ncr:1_{E11602DB-9C65-40DE-A882-44FD8CE49FF5}" xr6:coauthVersionLast="47" xr6:coauthVersionMax="47" xr10:uidLastSave="{00000000-0000-0000-0000-000000000000}"/>
  <bookViews>
    <workbookView xWindow="-120" yWindow="-120" windowWidth="29040" windowHeight="15720" tabRatio="844" firstSheet="3" activeTab="3" xr2:uid="{00000000-000D-0000-FFFF-FFFF00000000}"/>
  </bookViews>
  <sheets>
    <sheet name="Comentarios Comparativo" sheetId="15" state="hidden" r:id="rId1"/>
    <sheet name="Resumen de Primas" sheetId="14" state="hidden" r:id="rId2"/>
    <sheet name="Siniestralidad" sheetId="20" state="hidden" r:id="rId3"/>
    <sheet name="Hoja1" sheetId="16" r:id="rId4"/>
    <sheet name="TD-Datos" sheetId="26" state="hidden" r:id="rId5"/>
    <sheet name="Prueba" sheetId="25" state="hidden" r:id="rId6"/>
    <sheet name="TD-Prueba" sheetId="24" state="hidden" r:id="rId7"/>
  </sheets>
  <definedNames>
    <definedName name="_xlnm._FilterDatabase" localSheetId="3" hidden="1">Hoja1!$A$1:$AL$1</definedName>
    <definedName name="Aseguradoras">#REF!</definedName>
    <definedName name="Forma_Pago">#REF!</definedName>
    <definedName name="RamoIBIS">#REF!</definedName>
    <definedName name="SegmentaciónDeDatos_EmpresaFilial">#N/A</definedName>
    <definedName name="SegmentaciónDeDatos_FormaDePago">#N/A</definedName>
    <definedName name="SegmentaciónDeDatos_Grupo">#N/A</definedName>
    <definedName name="SegmentaciónDeDatos_RamoAutoCamiónMotoEtc">#N/A</definedName>
    <definedName name="SegmentaciónDeDatos_SubRamo">#N/A</definedName>
    <definedName name="SegmentaciónDeDatos_Tipo_de_Flotilla__Empresa___Empleado">#N/A</definedName>
    <definedName name="SubRamo">#REF!</definedName>
    <definedName name="_xlnm.Print_Titles" localSheetId="6">'TD-Prueba'!$A:$A,'TD-Prueba'!$3:$3</definedName>
  </definedNames>
  <calcPr calcId="191029"/>
  <pivotCaches>
    <pivotCache cacheId="0" r:id="rId8"/>
    <pivotCache cacheId="1" r:id="rId9"/>
  </pivotCaches>
  <extLst>
    <ext xmlns:x14="http://schemas.microsoft.com/office/spreadsheetml/2009/9/main" uri="{BBE1A952-AA13-448e-AADC-164F8A28A991}">
      <x14:slicerCaches>
        <x14:slicerCache r:id="rId10"/>
        <x14:slicerCache r:id="rId11"/>
        <x14:slicerCache r:id="rId12"/>
        <x14:slicerCache r:id="rId13"/>
        <x14:slicerCache r:id="rId14"/>
        <x14:slicerCache r:id="rId15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5" i="25" l="1"/>
  <c r="E45" i="25"/>
  <c r="F45" i="25"/>
  <c r="H45" i="25"/>
  <c r="I45" i="25"/>
  <c r="K45" i="25"/>
  <c r="L45" i="25"/>
  <c r="N45" i="25"/>
  <c r="O45" i="25"/>
  <c r="Q45" i="25"/>
  <c r="R45" i="25"/>
  <c r="E50" i="25"/>
  <c r="F50" i="25"/>
  <c r="H50" i="25"/>
  <c r="I50" i="25"/>
  <c r="K50" i="25"/>
  <c r="L50" i="25"/>
  <c r="N50" i="25"/>
  <c r="O50" i="25"/>
  <c r="Q50" i="25"/>
  <c r="R50" i="25"/>
  <c r="E51" i="25"/>
  <c r="F51" i="25"/>
  <c r="H51" i="25"/>
  <c r="I51" i="25"/>
  <c r="K51" i="25"/>
  <c r="L51" i="25"/>
  <c r="N51" i="25"/>
  <c r="O51" i="25"/>
  <c r="Q51" i="25"/>
  <c r="R51" i="25"/>
  <c r="E52" i="25"/>
  <c r="F52" i="25"/>
  <c r="H52" i="25"/>
  <c r="I52" i="25"/>
  <c r="K52" i="25"/>
  <c r="L52" i="25"/>
  <c r="N52" i="25"/>
  <c r="O52" i="25"/>
  <c r="Q52" i="25"/>
  <c r="R52" i="25"/>
  <c r="C37" i="25"/>
  <c r="C36" i="25" s="1"/>
  <c r="E37" i="25"/>
  <c r="E36" i="25" s="1"/>
  <c r="H37" i="25"/>
  <c r="H36" i="25" s="1"/>
  <c r="K37" i="25"/>
  <c r="K36" i="25" s="1"/>
  <c r="N37" i="25"/>
  <c r="N36" i="25" s="1"/>
  <c r="Q37" i="25"/>
  <c r="Q36" i="25" s="1"/>
  <c r="C38" i="25"/>
  <c r="E38" i="25"/>
  <c r="H38" i="25"/>
  <c r="K38" i="25"/>
  <c r="L38" i="25"/>
  <c r="N38" i="25"/>
  <c r="O38" i="25"/>
  <c r="Q38" i="25"/>
  <c r="R38" i="25"/>
  <c r="C39" i="25"/>
  <c r="E39" i="25"/>
  <c r="H39" i="25"/>
  <c r="I39" i="25"/>
  <c r="K39" i="25"/>
  <c r="L39" i="25"/>
  <c r="N39" i="25"/>
  <c r="O39" i="25"/>
  <c r="Q39" i="25"/>
  <c r="R39" i="25"/>
  <c r="E18" i="25"/>
  <c r="R21" i="25"/>
  <c r="Q21" i="25"/>
  <c r="O21" i="25"/>
  <c r="N21" i="25"/>
  <c r="L21" i="25"/>
  <c r="K21" i="25"/>
  <c r="I21" i="25"/>
  <c r="H21" i="25"/>
  <c r="F21" i="25"/>
  <c r="E21" i="25"/>
  <c r="I35" i="25"/>
  <c r="L35" i="25" s="1"/>
  <c r="O35" i="25" s="1"/>
  <c r="R35" i="25" s="1"/>
  <c r="H35" i="25"/>
  <c r="K35" i="25" s="1"/>
  <c r="N35" i="25" s="1"/>
  <c r="Q35" i="25" s="1"/>
  <c r="R49" i="25" l="1"/>
  <c r="R55" i="25" s="1"/>
  <c r="F49" i="25"/>
  <c r="F55" i="25" s="1"/>
  <c r="N49" i="25"/>
  <c r="N55" i="25" s="1"/>
  <c r="I49" i="25"/>
  <c r="I55" i="25" s="1"/>
  <c r="L49" i="25"/>
  <c r="L55" i="25" s="1"/>
  <c r="Q49" i="25"/>
  <c r="Q55" i="25" s="1"/>
  <c r="E49" i="25"/>
  <c r="E55" i="25" s="1"/>
  <c r="O49" i="25"/>
  <c r="O55" i="25" s="1"/>
  <c r="K49" i="25"/>
  <c r="K55" i="25" s="1"/>
  <c r="H49" i="25"/>
  <c r="H55" i="25" s="1"/>
  <c r="N10" i="26"/>
  <c r="M10" i="26"/>
  <c r="M6" i="26"/>
  <c r="N6" i="26"/>
  <c r="M7" i="26"/>
  <c r="N7" i="26"/>
  <c r="M8" i="26"/>
  <c r="N8" i="26"/>
  <c r="M9" i="26"/>
  <c r="N9" i="26"/>
  <c r="M11" i="26"/>
  <c r="N11" i="26"/>
  <c r="M12" i="26"/>
  <c r="N12" i="26"/>
  <c r="M13" i="26"/>
  <c r="N13" i="26"/>
  <c r="M14" i="26"/>
  <c r="N14" i="26"/>
  <c r="M15" i="26"/>
  <c r="N15" i="26"/>
  <c r="M16" i="26"/>
  <c r="N16" i="26"/>
  <c r="M17" i="26"/>
  <c r="N17" i="26"/>
  <c r="M18" i="26"/>
  <c r="N18" i="26"/>
  <c r="M19" i="26"/>
  <c r="N19" i="26"/>
  <c r="M20" i="26"/>
  <c r="N20" i="26"/>
  <c r="M21" i="26"/>
  <c r="N21" i="26"/>
  <c r="M22" i="26"/>
  <c r="N22" i="26"/>
  <c r="M23" i="26"/>
  <c r="N23" i="26"/>
  <c r="M24" i="26"/>
  <c r="N24" i="26"/>
  <c r="M25" i="26"/>
  <c r="N25" i="26"/>
  <c r="M26" i="26"/>
  <c r="N26" i="26"/>
  <c r="M27" i="26"/>
  <c r="N27" i="26"/>
  <c r="M28" i="26"/>
  <c r="N28" i="26"/>
  <c r="M29" i="26"/>
  <c r="N29" i="26"/>
  <c r="M30" i="26"/>
  <c r="N30" i="26"/>
  <c r="M31" i="26"/>
  <c r="N31" i="26"/>
  <c r="M32" i="26"/>
  <c r="N32" i="26"/>
  <c r="M33" i="26"/>
  <c r="N33" i="26"/>
  <c r="M34" i="26"/>
  <c r="N34" i="26"/>
  <c r="M35" i="26"/>
  <c r="N35" i="26"/>
  <c r="M36" i="26"/>
  <c r="N36" i="26"/>
  <c r="M37" i="26"/>
  <c r="N37" i="26"/>
  <c r="M38" i="26"/>
  <c r="N38" i="26"/>
  <c r="M39" i="26"/>
  <c r="N39" i="26"/>
  <c r="M40" i="26"/>
  <c r="N40" i="26"/>
  <c r="M41" i="26"/>
  <c r="N41" i="26"/>
  <c r="M42" i="26"/>
  <c r="N42" i="26"/>
  <c r="M43" i="26"/>
  <c r="N43" i="26"/>
  <c r="M44" i="26"/>
  <c r="N44" i="26"/>
  <c r="M45" i="26"/>
  <c r="N45" i="26"/>
  <c r="M46" i="26"/>
  <c r="N46" i="26"/>
  <c r="M47" i="26"/>
  <c r="N47" i="26"/>
  <c r="M48" i="26"/>
  <c r="N48" i="26"/>
  <c r="M49" i="26"/>
  <c r="N49" i="26"/>
  <c r="M50" i="26"/>
  <c r="N50" i="26"/>
  <c r="M51" i="26"/>
  <c r="N51" i="26"/>
  <c r="M52" i="26"/>
  <c r="N52" i="26"/>
  <c r="M53" i="26"/>
  <c r="N53" i="26"/>
  <c r="M54" i="26"/>
  <c r="N54" i="26"/>
  <c r="M55" i="26"/>
  <c r="N55" i="26"/>
  <c r="M56" i="26"/>
  <c r="N56" i="26"/>
  <c r="M57" i="26"/>
  <c r="N57" i="26"/>
  <c r="M58" i="26"/>
  <c r="N58" i="26"/>
  <c r="M59" i="26"/>
  <c r="N59" i="26"/>
  <c r="M60" i="26"/>
  <c r="N60" i="26"/>
  <c r="M61" i="26"/>
  <c r="N61" i="26"/>
  <c r="M62" i="26"/>
  <c r="N62" i="26"/>
  <c r="M63" i="26"/>
  <c r="N63" i="26"/>
  <c r="M64" i="26"/>
  <c r="N64" i="26"/>
  <c r="M65" i="26"/>
  <c r="N65" i="26"/>
  <c r="M66" i="26"/>
  <c r="N66" i="26"/>
  <c r="M67" i="26"/>
  <c r="N67" i="26"/>
  <c r="M68" i="26"/>
  <c r="N68" i="26"/>
  <c r="M69" i="26"/>
  <c r="N69" i="26"/>
  <c r="M70" i="26"/>
  <c r="N70" i="26"/>
  <c r="M71" i="26"/>
  <c r="N71" i="26"/>
  <c r="M72" i="26"/>
  <c r="N72" i="26"/>
  <c r="M73" i="26"/>
  <c r="N73" i="26"/>
  <c r="M74" i="26"/>
  <c r="N74" i="26"/>
  <c r="M75" i="26"/>
  <c r="N75" i="26"/>
  <c r="M76" i="26"/>
  <c r="N76" i="26"/>
  <c r="M77" i="26"/>
  <c r="N77" i="26"/>
  <c r="M78" i="26"/>
  <c r="N78" i="26"/>
  <c r="M79" i="26"/>
  <c r="N79" i="26"/>
  <c r="M80" i="26"/>
  <c r="N80" i="26"/>
  <c r="M81" i="26"/>
  <c r="N81" i="26"/>
  <c r="M82" i="26"/>
  <c r="N82" i="26"/>
  <c r="M83" i="26"/>
  <c r="N83" i="26"/>
  <c r="M84" i="26"/>
  <c r="N84" i="26"/>
  <c r="M85" i="26"/>
  <c r="N85" i="26"/>
  <c r="M86" i="26"/>
  <c r="N86" i="26"/>
  <c r="M87" i="26"/>
  <c r="N87" i="26"/>
  <c r="M88" i="26"/>
  <c r="N88" i="26"/>
  <c r="M89" i="26"/>
  <c r="N89" i="26"/>
  <c r="M90" i="26"/>
  <c r="N90" i="26"/>
  <c r="M91" i="26"/>
  <c r="N91" i="26"/>
  <c r="M92" i="26"/>
  <c r="N92" i="26"/>
  <c r="M93" i="26"/>
  <c r="N93" i="26"/>
  <c r="M94" i="26"/>
  <c r="N94" i="26"/>
  <c r="M95" i="26"/>
  <c r="N95" i="26"/>
  <c r="M96" i="26"/>
  <c r="N96" i="26"/>
  <c r="M97" i="26"/>
  <c r="N97" i="26"/>
  <c r="M98" i="26"/>
  <c r="N98" i="26"/>
  <c r="M99" i="26"/>
  <c r="N99" i="26"/>
  <c r="M100" i="26"/>
  <c r="N100" i="26"/>
  <c r="M101" i="26"/>
  <c r="N101" i="26"/>
  <c r="M102" i="26"/>
  <c r="N102" i="26"/>
  <c r="M103" i="26"/>
  <c r="N103" i="26"/>
  <c r="M104" i="26"/>
  <c r="N104" i="26"/>
  <c r="M105" i="26"/>
  <c r="N105" i="26"/>
  <c r="M106" i="26"/>
  <c r="N106" i="26"/>
  <c r="M107" i="26"/>
  <c r="N107" i="26"/>
  <c r="M108" i="26"/>
  <c r="N108" i="26"/>
  <c r="M109" i="26"/>
  <c r="N109" i="26"/>
  <c r="M110" i="26"/>
  <c r="N110" i="26"/>
  <c r="M111" i="26"/>
  <c r="N111" i="26"/>
  <c r="M112" i="26"/>
  <c r="N112" i="26"/>
  <c r="M113" i="26"/>
  <c r="N113" i="26"/>
  <c r="M114" i="26"/>
  <c r="N114" i="26"/>
  <c r="M115" i="26"/>
  <c r="N115" i="26"/>
  <c r="M116" i="26"/>
  <c r="N116" i="26"/>
  <c r="M117" i="26"/>
  <c r="N117" i="26"/>
  <c r="M118" i="26"/>
  <c r="N118" i="26"/>
  <c r="M119" i="26"/>
  <c r="N119" i="26"/>
  <c r="M120" i="26"/>
  <c r="N120" i="26"/>
  <c r="M121" i="26"/>
  <c r="N121" i="26"/>
  <c r="M122" i="26"/>
  <c r="N122" i="26"/>
  <c r="M123" i="26"/>
  <c r="N123" i="26"/>
  <c r="M124" i="26"/>
  <c r="N124" i="26"/>
  <c r="M125" i="26"/>
  <c r="N125" i="26"/>
  <c r="M5" i="26"/>
  <c r="M126" i="26" s="1"/>
  <c r="N5" i="26"/>
  <c r="N126" i="26" s="1"/>
  <c r="E42" i="14" l="1"/>
  <c r="C17" i="20"/>
  <c r="C8" i="20"/>
  <c r="C7" i="20" s="1"/>
  <c r="C13" i="20" s="1"/>
  <c r="Q44" i="14"/>
  <c r="Q43" i="14"/>
  <c r="Q42" i="14"/>
  <c r="R44" i="14"/>
  <c r="R43" i="14"/>
  <c r="R42" i="14"/>
  <c r="N44" i="14"/>
  <c r="N43" i="14"/>
  <c r="N42" i="14"/>
  <c r="O44" i="14"/>
  <c r="O43" i="14"/>
  <c r="O42" i="14"/>
  <c r="L44" i="14"/>
  <c r="L43" i="14"/>
  <c r="L42" i="14"/>
  <c r="K44" i="14"/>
  <c r="K43" i="14"/>
  <c r="K42" i="14"/>
  <c r="I44" i="14"/>
  <c r="I43" i="14"/>
  <c r="I42" i="14"/>
  <c r="H44" i="14"/>
  <c r="H43" i="14"/>
  <c r="H42" i="14"/>
  <c r="F44" i="14"/>
  <c r="F43" i="14"/>
  <c r="F42" i="14"/>
  <c r="E44" i="14"/>
  <c r="E43" i="14"/>
  <c r="R37" i="14"/>
  <c r="Q37" i="14"/>
  <c r="O37" i="14"/>
  <c r="N37" i="14"/>
  <c r="L37" i="14"/>
  <c r="K37" i="14"/>
  <c r="I37" i="14"/>
  <c r="H37" i="14"/>
  <c r="F37" i="14"/>
  <c r="E37" i="14"/>
  <c r="C37" i="14"/>
  <c r="R18" i="25"/>
  <c r="O18" i="25"/>
  <c r="O22" i="25" s="1"/>
  <c r="N18" i="25"/>
  <c r="N22" i="25" s="1"/>
  <c r="L18" i="25"/>
  <c r="L22" i="25" s="1"/>
  <c r="K18" i="25"/>
  <c r="K22" i="25" s="1"/>
  <c r="I18" i="25"/>
  <c r="H18" i="25"/>
  <c r="F18" i="25"/>
  <c r="F22" i="25" s="1"/>
  <c r="Q23" i="25"/>
  <c r="O23" i="25"/>
  <c r="Q18" i="25"/>
  <c r="Q22" i="25" s="1"/>
  <c r="C21" i="25"/>
  <c r="R31" i="14"/>
  <c r="Q31" i="14"/>
  <c r="R30" i="14"/>
  <c r="Q30" i="14"/>
  <c r="Q29" i="14"/>
  <c r="O31" i="14"/>
  <c r="N31" i="14"/>
  <c r="O30" i="14"/>
  <c r="N30" i="14"/>
  <c r="N29" i="14"/>
  <c r="L31" i="14"/>
  <c r="K31" i="14"/>
  <c r="L30" i="14"/>
  <c r="K30" i="14"/>
  <c r="K29" i="14"/>
  <c r="I31" i="14"/>
  <c r="H31" i="14"/>
  <c r="I30" i="14"/>
  <c r="H30" i="14"/>
  <c r="H29" i="14"/>
  <c r="E31" i="14"/>
  <c r="E30" i="14"/>
  <c r="E29" i="14"/>
  <c r="F31" i="14"/>
  <c r="F30" i="14"/>
  <c r="C18" i="25"/>
  <c r="C4" i="25"/>
  <c r="R23" i="25" l="1"/>
  <c r="I23" i="25"/>
  <c r="H23" i="25"/>
  <c r="K23" i="25"/>
  <c r="K24" i="25" s="1"/>
  <c r="K25" i="25" s="1"/>
  <c r="K28" i="25" s="1"/>
  <c r="N23" i="25"/>
  <c r="N24" i="25" s="1"/>
  <c r="L23" i="25"/>
  <c r="L24" i="25" s="1"/>
  <c r="L25" i="25" s="1"/>
  <c r="L28" i="25" s="1"/>
  <c r="C23" i="25"/>
  <c r="E23" i="25"/>
  <c r="F23" i="25"/>
  <c r="F24" i="25" s="1"/>
  <c r="F25" i="25" s="1"/>
  <c r="F28" i="25" s="1"/>
  <c r="E41" i="14"/>
  <c r="E47" i="14" s="1"/>
  <c r="C10" i="20"/>
  <c r="C14" i="20" s="1"/>
  <c r="F41" i="14"/>
  <c r="F47" i="14" s="1"/>
  <c r="I41" i="14"/>
  <c r="I47" i="14" s="1"/>
  <c r="L41" i="14"/>
  <c r="L47" i="14" s="1"/>
  <c r="R41" i="14"/>
  <c r="R47" i="14" s="1"/>
  <c r="Q41" i="14"/>
  <c r="Q47" i="14" s="1"/>
  <c r="N41" i="14"/>
  <c r="N47" i="14" s="1"/>
  <c r="O41" i="14"/>
  <c r="O47" i="14" s="1"/>
  <c r="K41" i="14"/>
  <c r="K47" i="14" s="1"/>
  <c r="H41" i="14"/>
  <c r="H47" i="14" s="1"/>
  <c r="C18" i="20"/>
  <c r="R27" i="25"/>
  <c r="H27" i="25"/>
  <c r="I27" i="25"/>
  <c r="K27" i="25"/>
  <c r="E27" i="25"/>
  <c r="R22" i="25"/>
  <c r="Q27" i="25"/>
  <c r="O24" i="25"/>
  <c r="O25" i="25" s="1"/>
  <c r="O28" i="25" s="1"/>
  <c r="O27" i="25"/>
  <c r="N27" i="25"/>
  <c r="L27" i="25"/>
  <c r="I22" i="25"/>
  <c r="H22" i="25"/>
  <c r="F27" i="25"/>
  <c r="E22" i="25"/>
  <c r="C27" i="25"/>
  <c r="C22" i="25"/>
  <c r="Q24" i="25"/>
  <c r="Q25" i="25" s="1"/>
  <c r="Q28" i="25" s="1"/>
  <c r="H24" i="25" l="1"/>
  <c r="H25" i="25" s="1"/>
  <c r="H28" i="25" s="1"/>
  <c r="R24" i="25"/>
  <c r="R25" i="25" s="1"/>
  <c r="R28" i="25" s="1"/>
  <c r="E24" i="25"/>
  <c r="E25" i="25" s="1"/>
  <c r="E28" i="25" s="1"/>
  <c r="C15" i="20"/>
  <c r="F30" i="25"/>
  <c r="K30" i="25"/>
  <c r="R30" i="25"/>
  <c r="N25" i="25"/>
  <c r="N28" i="25" s="1"/>
  <c r="E30" i="25"/>
  <c r="O30" i="25"/>
  <c r="N30" i="25"/>
  <c r="I30" i="25"/>
  <c r="H30" i="25"/>
  <c r="Q30" i="25"/>
  <c r="L30" i="25"/>
  <c r="I24" i="25"/>
  <c r="I25" i="25" s="1"/>
  <c r="I28" i="25" s="1"/>
  <c r="C24" i="25"/>
  <c r="C25" i="25" s="1"/>
  <c r="C28" i="25" s="1"/>
  <c r="N31" i="25" l="1"/>
  <c r="H31" i="25"/>
  <c r="O31" i="25"/>
  <c r="Q31" i="25"/>
  <c r="K31" i="25"/>
  <c r="E31" i="25"/>
  <c r="I31" i="25"/>
  <c r="F31" i="25"/>
  <c r="R31" i="25"/>
  <c r="L31" i="25"/>
  <c r="C31" i="14" l="1"/>
  <c r="C30" i="14"/>
  <c r="C29" i="14"/>
  <c r="C28" i="14" s="1"/>
  <c r="C15" i="14" s="1"/>
  <c r="R14" i="14"/>
  <c r="R19" i="14"/>
  <c r="O19" i="14"/>
  <c r="N19" i="14"/>
  <c r="Q19" i="14"/>
  <c r="L19" i="14"/>
  <c r="K19" i="14"/>
  <c r="I19" i="14"/>
  <c r="H19" i="14"/>
  <c r="F19" i="14"/>
  <c r="E19" i="14"/>
  <c r="C4" i="14"/>
  <c r="Q28" i="14"/>
  <c r="N28" i="14"/>
  <c r="K28" i="14"/>
  <c r="H28" i="14"/>
  <c r="E28" i="14"/>
  <c r="C19" i="14"/>
  <c r="Q14" i="14"/>
  <c r="O14" i="14"/>
  <c r="N14" i="14"/>
  <c r="L14" i="14"/>
  <c r="K14" i="14"/>
  <c r="I14" i="14"/>
  <c r="H14" i="14"/>
  <c r="F14" i="14"/>
  <c r="E14" i="14"/>
  <c r="C14" i="14"/>
  <c r="C51" i="25" l="1"/>
  <c r="C50" i="25"/>
  <c r="C52" i="25"/>
  <c r="E15" i="14"/>
  <c r="E16" i="14" s="1"/>
  <c r="E17" i="14" s="1"/>
  <c r="E20" i="14" s="1"/>
  <c r="F15" i="14"/>
  <c r="F16" i="14" s="1"/>
  <c r="F17" i="14" s="1"/>
  <c r="F20" i="14" s="1"/>
  <c r="I15" i="14"/>
  <c r="H15" i="14"/>
  <c r="H16" i="14" s="1"/>
  <c r="H17" i="14" s="1"/>
  <c r="H20" i="14" s="1"/>
  <c r="O15" i="14"/>
  <c r="O16" i="14" s="1"/>
  <c r="O17" i="14" s="1"/>
  <c r="O20" i="14" s="1"/>
  <c r="N15" i="14"/>
  <c r="N16" i="14" s="1"/>
  <c r="N17" i="14" s="1"/>
  <c r="N20" i="14" s="1"/>
  <c r="L15" i="14"/>
  <c r="L16" i="14" s="1"/>
  <c r="L17" i="14" s="1"/>
  <c r="L20" i="14" s="1"/>
  <c r="K15" i="14"/>
  <c r="R15" i="14"/>
  <c r="R16" i="14" s="1"/>
  <c r="R17" i="14" s="1"/>
  <c r="R20" i="14" s="1"/>
  <c r="Q15" i="14"/>
  <c r="Q16" i="14" s="1"/>
  <c r="Q17" i="14" s="1"/>
  <c r="Q20" i="14" s="1"/>
  <c r="C42" i="14"/>
  <c r="C44" i="14"/>
  <c r="C43" i="14"/>
  <c r="H22" i="14"/>
  <c r="R22" i="14"/>
  <c r="L22" i="14"/>
  <c r="N22" i="14"/>
  <c r="K16" i="14"/>
  <c r="K17" i="14" s="1"/>
  <c r="K20" i="14" s="1"/>
  <c r="E22" i="14"/>
  <c r="F22" i="14"/>
  <c r="Q22" i="14"/>
  <c r="O22" i="14"/>
  <c r="I22" i="14"/>
  <c r="K22" i="14"/>
  <c r="C49" i="25" l="1"/>
  <c r="C55" i="25" s="1"/>
  <c r="C11" i="20"/>
  <c r="C16" i="20" s="1"/>
  <c r="I16" i="14"/>
  <c r="I17" i="14" s="1"/>
  <c r="I20" i="14" s="1"/>
  <c r="C16" i="14"/>
  <c r="C17" i="14" s="1"/>
  <c r="C20" i="14" s="1"/>
  <c r="C41" i="14"/>
  <c r="C47" i="14" s="1"/>
  <c r="R23" i="14" l="1"/>
  <c r="L23" i="14"/>
  <c r="F23" i="14"/>
  <c r="H23" i="14"/>
  <c r="O23" i="14"/>
  <c r="N23" i="14"/>
  <c r="I23" i="14"/>
  <c r="E23" i="14"/>
  <c r="K23" i="14"/>
  <c r="Q23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Zarate, Ivonne</author>
  </authors>
  <commentList>
    <comment ref="A1" authorId="0" shapeId="0" xr:uid="{C1BD18DD-287C-4852-8638-B06D51B65D5D}">
      <text>
        <r>
          <rPr>
            <b/>
            <sz val="9"/>
            <color indexed="81"/>
            <rFont val="Tahoma"/>
            <family val="2"/>
          </rPr>
          <t>Zarate, Ivonne:</t>
        </r>
        <r>
          <rPr>
            <sz val="9"/>
            <color indexed="81"/>
            <rFont val="Tahoma"/>
            <family val="2"/>
          </rPr>
          <t xml:space="preserve">
dato numerico obligatorio consecutivo y ascendente</t>
        </r>
      </text>
    </comment>
    <comment ref="B1" authorId="0" shapeId="0" xr:uid="{669A2CBF-864F-4B7B-A145-5CAC248D0A71}">
      <text>
        <r>
          <rPr>
            <b/>
            <sz val="9"/>
            <color indexed="81"/>
            <rFont val="Tahoma"/>
            <family val="2"/>
          </rPr>
          <t>Zarate, Ivonne:</t>
        </r>
        <r>
          <rPr>
            <sz val="9"/>
            <color indexed="81"/>
            <rFont val="Tahoma"/>
            <family val="2"/>
          </rPr>
          <t xml:space="preserve">
ID de Cliente IBIS</t>
        </r>
      </text>
    </comment>
    <comment ref="C1" authorId="0" shapeId="0" xr:uid="{6DBF3F3A-3B41-4C58-9928-61B2D8F277C7}">
      <text>
        <r>
          <rPr>
            <b/>
            <sz val="9"/>
            <color indexed="81"/>
            <rFont val="Tahoma"/>
            <family val="2"/>
          </rPr>
          <t>Zarate, Ivonne:</t>
        </r>
        <r>
          <rPr>
            <sz val="9"/>
            <color indexed="81"/>
            <rFont val="Tahoma"/>
            <family val="2"/>
          </rPr>
          <t xml:space="preserve">
Dato alfanumerico. Nombre de Cliente</t>
        </r>
      </text>
    </comment>
    <comment ref="D1" authorId="0" shapeId="0" xr:uid="{C7AD66EA-FA0E-45A1-86E2-F8F6AC20FEEA}">
      <text>
        <r>
          <rPr>
            <b/>
            <sz val="9"/>
            <color indexed="81"/>
            <rFont val="Tahoma"/>
            <family val="2"/>
          </rPr>
          <t>Zarate, Ivonne:</t>
        </r>
        <r>
          <rPr>
            <sz val="9"/>
            <color indexed="81"/>
            <rFont val="Tahoma"/>
            <family val="2"/>
          </rPr>
          <t xml:space="preserve">
Dato alfanumerico. Nombre de Cliente</t>
        </r>
      </text>
    </comment>
    <comment ref="E1" authorId="0" shapeId="0" xr:uid="{B188033C-77C3-411C-B4FB-F63FE109FA21}">
      <text>
        <r>
          <rPr>
            <b/>
            <sz val="9"/>
            <color indexed="81"/>
            <rFont val="Tahoma"/>
            <family val="2"/>
          </rPr>
          <t>Zarate, Ivonne:</t>
        </r>
        <r>
          <rPr>
            <sz val="9"/>
            <color indexed="81"/>
            <rFont val="Tahoma"/>
            <family val="2"/>
          </rPr>
          <t xml:space="preserve">
Dato alfanumerico. Nombre de Cliente</t>
        </r>
      </text>
    </comment>
    <comment ref="F1" authorId="0" shapeId="0" xr:uid="{0E46B89B-8F1F-4BB2-B2D6-C39A694E2E5D}">
      <text>
        <r>
          <rPr>
            <b/>
            <sz val="9"/>
            <color indexed="81"/>
            <rFont val="Tahoma"/>
            <family val="2"/>
          </rPr>
          <t>Zarate, Ivonne:</t>
        </r>
        <r>
          <rPr>
            <sz val="9"/>
            <color indexed="81"/>
            <rFont val="Tahoma"/>
            <family val="2"/>
          </rPr>
          <t xml:space="preserve">
Dato alfanumerico. Nombre de Cliente</t>
        </r>
      </text>
    </comment>
    <comment ref="G1" authorId="0" shapeId="0" xr:uid="{DB33061F-55C7-4E92-8F07-762CFABC9A1D}">
      <text>
        <r>
          <rPr>
            <b/>
            <sz val="9"/>
            <color indexed="81"/>
            <rFont val="Tahoma"/>
            <family val="2"/>
          </rPr>
          <t>Zarate, Ivonne:</t>
        </r>
        <r>
          <rPr>
            <sz val="9"/>
            <color indexed="81"/>
            <rFont val="Tahoma"/>
            <family val="2"/>
          </rPr>
          <t xml:space="preserve">
Clave Catalogo IBIS</t>
        </r>
      </text>
    </comment>
    <comment ref="H1" authorId="0" shapeId="0" xr:uid="{590EC04E-D5B8-47A1-A3E2-C6439CE66240}">
      <text>
        <r>
          <rPr>
            <b/>
            <sz val="9"/>
            <color indexed="81"/>
            <rFont val="Tahoma"/>
            <family val="2"/>
          </rPr>
          <t>Zarate, Ivonne:</t>
        </r>
        <r>
          <rPr>
            <sz val="9"/>
            <color indexed="81"/>
            <rFont val="Tahoma"/>
            <family val="2"/>
          </rPr>
          <t xml:space="preserve">
Clave Catalogo IBIS</t>
        </r>
      </text>
    </comment>
    <comment ref="I1" authorId="0" shapeId="0" xr:uid="{9E0E0AF4-D7CA-414E-8612-4DD6501ADDED}">
      <text>
        <r>
          <rPr>
            <b/>
            <sz val="9"/>
            <color indexed="81"/>
            <rFont val="Tahoma"/>
            <family val="2"/>
          </rPr>
          <t>Zarate, Ivonne:</t>
        </r>
        <r>
          <rPr>
            <sz val="9"/>
            <color indexed="81"/>
            <rFont val="Tahoma"/>
            <family val="2"/>
          </rPr>
          <t xml:space="preserve">
Clave Catalogo IBIS</t>
        </r>
      </text>
    </comment>
    <comment ref="J1" authorId="0" shapeId="0" xr:uid="{85A57976-2C23-4A8A-B332-10AAEB8A7D2A}">
      <text>
        <r>
          <rPr>
            <b/>
            <sz val="9"/>
            <color indexed="81"/>
            <rFont val="Tahoma"/>
            <family val="2"/>
          </rPr>
          <t>Zarate, Ivonne:</t>
        </r>
        <r>
          <rPr>
            <sz val="9"/>
            <color indexed="81"/>
            <rFont val="Tahoma"/>
            <family val="2"/>
          </rPr>
          <t xml:space="preserve">
Versión, Descripción del vehiculo</t>
        </r>
      </text>
    </comment>
    <comment ref="K1" authorId="0" shapeId="0" xr:uid="{430B0397-7281-4AA4-AFAC-E8034BD40163}">
      <text>
        <r>
          <rPr>
            <b/>
            <sz val="9"/>
            <color indexed="81"/>
            <rFont val="Tahoma"/>
            <family val="2"/>
          </rPr>
          <t>Zarate, Ivonne:</t>
        </r>
        <r>
          <rPr>
            <sz val="9"/>
            <color indexed="81"/>
            <rFont val="Tahoma"/>
            <family val="2"/>
          </rPr>
          <t xml:space="preserve">
Númerico</t>
        </r>
      </text>
    </comment>
    <comment ref="M1" authorId="0" shapeId="0" xr:uid="{F6A9445A-39CD-45B7-98D9-1FB1C0AC63C8}">
      <text>
        <r>
          <rPr>
            <b/>
            <sz val="9"/>
            <color indexed="81"/>
            <rFont val="Tahoma"/>
            <family val="2"/>
          </rPr>
          <t>Zarate, Ivonne:</t>
        </r>
        <r>
          <rPr>
            <sz val="9"/>
            <color indexed="81"/>
            <rFont val="Tahoma"/>
            <family val="2"/>
          </rPr>
          <t xml:space="preserve">
Valor alfanumerico</t>
        </r>
      </text>
    </comment>
    <comment ref="AA1" authorId="0" shapeId="0" xr:uid="{11368E86-CBD1-4B33-85AA-10E86F0CC3C1}">
      <text>
        <r>
          <rPr>
            <b/>
            <sz val="9"/>
            <color indexed="81"/>
            <rFont val="Tahoma"/>
            <family val="2"/>
          </rPr>
          <t>Zarate, Ivonne:</t>
        </r>
        <r>
          <rPr>
            <sz val="9"/>
            <color indexed="81"/>
            <rFont val="Tahoma"/>
            <family val="2"/>
          </rPr>
          <t xml:space="preserve">
data dd/mm/yyyy obligatorio para placement y cargas masivas</t>
        </r>
      </text>
    </comment>
    <comment ref="AB1" authorId="0" shapeId="0" xr:uid="{D13E4811-C4A2-406E-8A0B-5E4AAEB726C2}">
      <text>
        <r>
          <rPr>
            <b/>
            <sz val="9"/>
            <color indexed="81"/>
            <rFont val="Tahoma"/>
            <family val="2"/>
          </rPr>
          <t>Zarate, Ivonne:</t>
        </r>
        <r>
          <rPr>
            <sz val="9"/>
            <color indexed="81"/>
            <rFont val="Tahoma"/>
            <family val="2"/>
          </rPr>
          <t xml:space="preserve">
data dd/mm/yyyy obligatorio para placement y cargas masivas</t>
        </r>
      </text>
    </comment>
  </commentList>
</comments>
</file>

<file path=xl/sharedStrings.xml><?xml version="1.0" encoding="utf-8"?>
<sst xmlns="http://schemas.openxmlformats.org/spreadsheetml/2006/main" count="976" uniqueCount="416">
  <si>
    <t>ID</t>
  </si>
  <si>
    <t>Marca</t>
  </si>
  <si>
    <t>Modelo</t>
  </si>
  <si>
    <t>Comentarios</t>
  </si>
  <si>
    <t>Empresa</t>
  </si>
  <si>
    <t>Empleado</t>
  </si>
  <si>
    <t>Automovil</t>
  </si>
  <si>
    <t>Motocicleta</t>
  </si>
  <si>
    <t>Camion</t>
  </si>
  <si>
    <t>OPCIÓN 1</t>
  </si>
  <si>
    <t>OPCIÓN 2</t>
  </si>
  <si>
    <t>RESUMEN DE PRIMAS</t>
  </si>
  <si>
    <t>CLIENTE:</t>
  </si>
  <si>
    <t>ACTUAL</t>
  </si>
  <si>
    <t>UNIDADES</t>
  </si>
  <si>
    <t>DERECHOS POR UNIDAD</t>
  </si>
  <si>
    <t>PRIMA NETA</t>
  </si>
  <si>
    <t>DERECHOS</t>
  </si>
  <si>
    <t>IVA</t>
  </si>
  <si>
    <t>PRIMA TOTAL</t>
  </si>
  <si>
    <t>PRIMA NETA PROMEDIO</t>
  </si>
  <si>
    <t>PRIMA TOTAL PROMEDIO</t>
  </si>
  <si>
    <r>
      <rPr>
        <b/>
        <sz val="11"/>
        <color theme="7" tint="-0.249977111117893"/>
        <rFont val="Calibri"/>
        <family val="2"/>
      </rPr>
      <t>Δ</t>
    </r>
    <r>
      <rPr>
        <b/>
        <sz val="11"/>
        <color theme="7" tint="-0.249977111117893"/>
        <rFont val="Calibri"/>
        <family val="2"/>
        <scheme val="minor"/>
      </rPr>
      <t>% PRIMA NETA</t>
    </r>
  </si>
  <si>
    <r>
      <rPr>
        <b/>
        <sz val="11"/>
        <color theme="7" tint="-0.249977111117893"/>
        <rFont val="Calibri"/>
        <family val="2"/>
      </rPr>
      <t>Δ</t>
    </r>
    <r>
      <rPr>
        <b/>
        <sz val="11"/>
        <color theme="7" tint="-0.249977111117893"/>
        <rFont val="Calibri"/>
        <family val="2"/>
        <scheme val="minor"/>
      </rPr>
      <t>% PRIMA TOTAL</t>
    </r>
  </si>
  <si>
    <t>DESCRIPCIÓN 
DE 
OPCIONES</t>
  </si>
  <si>
    <t>RECARGOS POR PAGO FRACCIONADO</t>
  </si>
  <si>
    <t>SEMESTRAL</t>
  </si>
  <si>
    <t>TRIMESTRAL</t>
  </si>
  <si>
    <t>MENSUAL</t>
  </si>
  <si>
    <t>Importes en moneda nacional</t>
  </si>
  <si>
    <t>Las primas presentadas consideran forma de pago CONTADO.</t>
  </si>
  <si>
    <t>Atlas</t>
  </si>
  <si>
    <t>HDI</t>
  </si>
  <si>
    <t>Mapfre</t>
  </si>
  <si>
    <t>Quálitas</t>
  </si>
  <si>
    <t>Zurich</t>
  </si>
  <si>
    <t>Comentarios del Comparativo</t>
  </si>
  <si>
    <t>Grupo</t>
  </si>
  <si>
    <t>ValorEquipoEspecial</t>
  </si>
  <si>
    <t>Uso</t>
  </si>
  <si>
    <t>Beneficiarios Preferentes</t>
  </si>
  <si>
    <t>A</t>
  </si>
  <si>
    <t>M</t>
  </si>
  <si>
    <t>general</t>
  </si>
  <si>
    <t>JoseManuel Gordillo Montoya</t>
  </si>
  <si>
    <t>FormaDePago</t>
  </si>
  <si>
    <t>NoMotor</t>
  </si>
  <si>
    <t>AdaptaciónDescripción</t>
  </si>
  <si>
    <t>EquipoEspecialDescripción</t>
  </si>
  <si>
    <t>general2</t>
  </si>
  <si>
    <t>nuevoGreo</t>
  </si>
  <si>
    <t>S</t>
  </si>
  <si>
    <t>RECARGOS PAGO FRACCIONADO</t>
  </si>
  <si>
    <t>COMISIÓN %</t>
  </si>
  <si>
    <t>COMISIÓN (Monto)</t>
  </si>
  <si>
    <t>SMART WHEELS (Monto)</t>
  </si>
  <si>
    <t>INPLANT</t>
  </si>
  <si>
    <t>INGRESO WTW</t>
  </si>
  <si>
    <t>FECHA CORTE SINI</t>
  </si>
  <si>
    <t>INICIO DE VIGENCIA</t>
  </si>
  <si>
    <t>VIN DE VIGENCIA</t>
  </si>
  <si>
    <t>Prima Emitida</t>
  </si>
  <si>
    <t>Prima Anualizada</t>
  </si>
  <si>
    <t>Monto Siniestro</t>
  </si>
  <si>
    <t>Monto Siniestro Anualizado</t>
  </si>
  <si>
    <t>Siniestralidad %</t>
  </si>
  <si>
    <t>Siniestralidad % Anualizada</t>
  </si>
  <si>
    <t>Descuento</t>
  </si>
  <si>
    <t>Prima Neta Máxima</t>
  </si>
  <si>
    <t>Siniestralidad % Propuesta</t>
  </si>
  <si>
    <t>Etiquetas de fila</t>
  </si>
  <si>
    <t>Cuenta de Inciso</t>
  </si>
  <si>
    <t>Suma de PN Anualizada</t>
  </si>
  <si>
    <t>Total general</t>
  </si>
  <si>
    <t>COMISIÓN AUTOS %</t>
  </si>
  <si>
    <t>COMISIÓN CAMIONES Y OTROS VEH %</t>
  </si>
  <si>
    <t>COMISIÓN AUTOS</t>
  </si>
  <si>
    <t>COMISIÓN CAMIONES Y OTROS VEH</t>
  </si>
  <si>
    <t>COMISIÓN MOTOS %</t>
  </si>
  <si>
    <t>COMISIÓN MOTOS</t>
  </si>
  <si>
    <t>Siniestralidad</t>
  </si>
  <si>
    <t>Valores</t>
  </si>
  <si>
    <t>Inicio de Vigencia</t>
  </si>
  <si>
    <t>Recargo</t>
  </si>
  <si>
    <t>Comisión</t>
  </si>
  <si>
    <t>PN</t>
  </si>
  <si>
    <t>Derechos</t>
  </si>
  <si>
    <t>PT</t>
  </si>
  <si>
    <t>Subramo</t>
  </si>
  <si>
    <t xml:space="preserve">Inciso </t>
  </si>
  <si>
    <t>Suma de Prima Neta 1</t>
  </si>
  <si>
    <t>Suma de Unidades 1</t>
  </si>
  <si>
    <t>Suma de Op.2 Prima Neta 1</t>
  </si>
  <si>
    <t>Suma de Unidades 2</t>
  </si>
  <si>
    <t>Suma de Prima Neta 2</t>
  </si>
  <si>
    <t>Suma de Op.2 Prima Neta 2</t>
  </si>
  <si>
    <t>Suma de Unidades 3</t>
  </si>
  <si>
    <t>Suma de Prima Neta 3</t>
  </si>
  <si>
    <t>Suma de Op.2 Prima Neta 3</t>
  </si>
  <si>
    <t>Suma de Unidades 4</t>
  </si>
  <si>
    <t>Suma de Prima Neta 4</t>
  </si>
  <si>
    <t>Suma de Op.2 Prima Neta 4</t>
  </si>
  <si>
    <t>Suma de Unidades 5</t>
  </si>
  <si>
    <t>Suma de Prima Neta 5</t>
  </si>
  <si>
    <t>Suma de Op.2 Prima Neta 5</t>
  </si>
  <si>
    <t>Chasis</t>
  </si>
  <si>
    <t>Unidad</t>
  </si>
  <si>
    <t>Año</t>
  </si>
  <si>
    <t>Color</t>
  </si>
  <si>
    <t>Tipo</t>
  </si>
  <si>
    <t>Puertas</t>
  </si>
  <si>
    <t>Acreedor</t>
  </si>
  <si>
    <t>MenorNombrado1</t>
  </si>
  <si>
    <t>FechaNacimientoMenor1</t>
  </si>
  <si>
    <t>MenorNombrado2</t>
  </si>
  <si>
    <t>FechaNacimientoMenor2</t>
  </si>
  <si>
    <t>MenorNombrado3</t>
  </si>
  <si>
    <t>FechaNacimientoMenor3</t>
  </si>
  <si>
    <t>MenorNombrado4</t>
  </si>
  <si>
    <t>FechaNacimientoMenor4</t>
  </si>
  <si>
    <t>MenorNombrado5</t>
  </si>
  <si>
    <t>FechaNacimientoMenor5</t>
  </si>
  <si>
    <t>Pasajeros</t>
  </si>
  <si>
    <t>ValorDelAuto</t>
  </si>
  <si>
    <t>ValorAdaptación</t>
  </si>
  <si>
    <t>PLACAS</t>
  </si>
  <si>
    <t>ApellidoMaternoEnCasoDeSerEmpleado</t>
  </si>
  <si>
    <t>ApellidoPaternoEnCasoDeSerEmpleado</t>
  </si>
  <si>
    <t>NombreEnCasoDeSerEmpleado</t>
  </si>
  <si>
    <t>IncisoCia</t>
  </si>
  <si>
    <t>YARIS</t>
  </si>
  <si>
    <t>DISTRIBUIDORA MARTE S. A.</t>
  </si>
  <si>
    <t>Angel Antonio Balbás Izquierdo</t>
  </si>
  <si>
    <t>CX-5</t>
  </si>
  <si>
    <t>JM8KE4W37F0278861</t>
  </si>
  <si>
    <t>PY 20478484</t>
  </si>
  <si>
    <t>P-872FTR</t>
  </si>
  <si>
    <t>PROTEGE 5</t>
  </si>
  <si>
    <t>JM1BJ245431106053</t>
  </si>
  <si>
    <t>FS170862</t>
  </si>
  <si>
    <t>P-066JJD</t>
  </si>
  <si>
    <t>MOTOCICLETA -</t>
  </si>
  <si>
    <t>DJYCJH41382</t>
  </si>
  <si>
    <t>MD2A12DY1KCH00475</t>
  </si>
  <si>
    <t>M-502LJF</t>
  </si>
  <si>
    <t>TUCSON</t>
  </si>
  <si>
    <t>KMHJU81BADU625850</t>
  </si>
  <si>
    <t>G4DCU899186</t>
  </si>
  <si>
    <t>P-316FMH</t>
  </si>
  <si>
    <t>Estela Teofila Pérez Villacinda</t>
  </si>
  <si>
    <t>Edgar Leonel Godoy Mayorga</t>
  </si>
  <si>
    <t>Carlos Oscal Samayoa</t>
  </si>
  <si>
    <t>Erick Mauricio Contreras Rodas</t>
  </si>
  <si>
    <t>Cristoper Antony Tolico Arriaza</t>
  </si>
  <si>
    <t>MD2A76AZ7HWE48130</t>
  </si>
  <si>
    <t>PFZWGE02325</t>
  </si>
  <si>
    <t>M-832FCZ</t>
  </si>
  <si>
    <t>HJ125-8</t>
  </si>
  <si>
    <t>LC6PJK24K0000348</t>
  </si>
  <si>
    <t>156FM1-5A*D2F37736*</t>
  </si>
  <si>
    <t>M-590GCY</t>
  </si>
  <si>
    <t>Oscar Enrique Gonzalez Ramirez</t>
  </si>
  <si>
    <t>MAZDA 2</t>
  </si>
  <si>
    <t>JM1DE1KY9ED182347</t>
  </si>
  <si>
    <t>D08914 ZY</t>
  </si>
  <si>
    <t>P-345JRW</t>
  </si>
  <si>
    <t>SENTRA</t>
  </si>
  <si>
    <t>3N1AB7AP5FY358425</t>
  </si>
  <si>
    <t>*MRA8*709585H</t>
  </si>
  <si>
    <t>P-096HBJ</t>
  </si>
  <si>
    <t>Joel Eduardo Alvarez López</t>
  </si>
  <si>
    <t>MAZDA3 I SPORT</t>
  </si>
  <si>
    <t>JM1BL1TF5D1728032</t>
  </si>
  <si>
    <t>LF11442196</t>
  </si>
  <si>
    <t>P-056GJG</t>
  </si>
  <si>
    <t>Ingrid Fabiola Maldonado Pocon</t>
  </si>
  <si>
    <t>ECHO</t>
  </si>
  <si>
    <t>JTDBT123310144172</t>
  </si>
  <si>
    <t>1NZ 1659631</t>
  </si>
  <si>
    <t>P-731FWR</t>
  </si>
  <si>
    <t>Josué Fernando Paredes Valle</t>
  </si>
  <si>
    <t>4 RUNNER</t>
  </si>
  <si>
    <t>JTEZU4JR3C5038051</t>
  </si>
  <si>
    <t>1GR-A4444385</t>
  </si>
  <si>
    <t>P-933FGY</t>
  </si>
  <si>
    <t>Carmen Cecilia Castillo Diaz</t>
  </si>
  <si>
    <t>CR-V</t>
  </si>
  <si>
    <t>JHLRE48597C033316</t>
  </si>
  <si>
    <t>K24Z1 1464657</t>
  </si>
  <si>
    <t>P-753JHT</t>
  </si>
  <si>
    <t>Gladys Mishelle Arroyo Aguilar</t>
  </si>
  <si>
    <t>3</t>
  </si>
  <si>
    <t>JM1BM1L74E11555938</t>
  </si>
  <si>
    <t>PE 20404825</t>
  </si>
  <si>
    <t>P-609GLT</t>
  </si>
  <si>
    <t>Diego Alejandro Mejia Pazos</t>
  </si>
  <si>
    <t>GSX125</t>
  </si>
  <si>
    <t>L9SPC53C9K1214179</t>
  </si>
  <si>
    <t>QS157FMI-D18105936</t>
  </si>
  <si>
    <t>M-651GHC</t>
  </si>
  <si>
    <t>Heelen Mariem Lyly Ochoa Juarez</t>
  </si>
  <si>
    <t>VERSA</t>
  </si>
  <si>
    <t>3N1CN7AP7EL849848</t>
  </si>
  <si>
    <t>HR16 743449H</t>
  </si>
  <si>
    <t>P-038GWM</t>
  </si>
  <si>
    <t xml:space="preserve">Ana Mercedes Rosal Andrade </t>
  </si>
  <si>
    <t>TRAX LS</t>
  </si>
  <si>
    <t>3GNCJNSB8HL360811</t>
  </si>
  <si>
    <t>19PT1685U14NFT</t>
  </si>
  <si>
    <t>P-082JWS</t>
  </si>
  <si>
    <t>Henry Amilcar Pérez Monroy</t>
  </si>
  <si>
    <t>CRF 150F</t>
  </si>
  <si>
    <t>ME4KC1948F8015212</t>
  </si>
  <si>
    <t>KC19E81015200</t>
  </si>
  <si>
    <t>M-990FDX</t>
  </si>
  <si>
    <t>Jose Noe Hernández Ramos</t>
  </si>
  <si>
    <t>DM150</t>
  </si>
  <si>
    <t>LC6PCKBG9P0000497</t>
  </si>
  <si>
    <t>162FMJ-3*X1G09520*</t>
  </si>
  <si>
    <t>M-885JYG</t>
  </si>
  <si>
    <t>Reyna Isabel Muñoz Gonzalez</t>
  </si>
  <si>
    <t>5J6RE48309L004652</t>
  </si>
  <si>
    <t>K24Z1 1420760</t>
  </si>
  <si>
    <t>P-351JYD</t>
  </si>
  <si>
    <t>Jennifer Beatrice Bernard Guillen</t>
  </si>
  <si>
    <t>RUSH</t>
  </si>
  <si>
    <t>MHKE8FF30LK008751</t>
  </si>
  <si>
    <t>2NRF980053</t>
  </si>
  <si>
    <t>P-672JKS</t>
  </si>
  <si>
    <t>Elfego Rubilio Dominguez Velasquez</t>
  </si>
  <si>
    <t>POLO</t>
  </si>
  <si>
    <t>WVWZZZ60ZKT027200</t>
  </si>
  <si>
    <t>CLS 659171</t>
  </si>
  <si>
    <t>P-119JKP</t>
  </si>
  <si>
    <t>Migdalia Azucena Echeverria Cardona</t>
  </si>
  <si>
    <t>RAV 4</t>
  </si>
  <si>
    <t>JTMZF4DV3AD025357</t>
  </si>
  <si>
    <t>2AR E128130</t>
  </si>
  <si>
    <t>P-475JDP</t>
  </si>
  <si>
    <t>Elder Joel Estuardo Galindo López</t>
  </si>
  <si>
    <t>MAZDA5 GRAND TOURING</t>
  </si>
  <si>
    <t>JM1BK323571651673</t>
  </si>
  <si>
    <t>L3167754</t>
  </si>
  <si>
    <t>P-35GNW</t>
  </si>
  <si>
    <t>Irlia Alizandra Hernández Ovando</t>
  </si>
  <si>
    <t>3N1AB6AP3AL636416</t>
  </si>
  <si>
    <t>MR20*428139H*</t>
  </si>
  <si>
    <t>P-948JTH</t>
  </si>
  <si>
    <t>Claudia Annabella Gomez Garcia</t>
  </si>
  <si>
    <t>JTDJT923085159509</t>
  </si>
  <si>
    <t>1NZ-4815555</t>
  </si>
  <si>
    <t>P-975GSX</t>
  </si>
  <si>
    <t>Edgar Orlando Vivas Oliva</t>
  </si>
  <si>
    <t>SPORTAGE</t>
  </si>
  <si>
    <t>KNAPB81ABG7826712</t>
  </si>
  <si>
    <t>G4NAFH120479</t>
  </si>
  <si>
    <t>P-570FYX</t>
  </si>
  <si>
    <t>José Armando Tagre Gómez</t>
  </si>
  <si>
    <t>250Z NEW</t>
  </si>
  <si>
    <t>LLCLPMF01MA103413</t>
  </si>
  <si>
    <t>M-294JGV</t>
  </si>
  <si>
    <t>Cesar Vinicio Adqui Velasquez</t>
  </si>
  <si>
    <t>3N1CN7APXEL841517</t>
  </si>
  <si>
    <t>HR16-846469F</t>
  </si>
  <si>
    <t>P-686JPW</t>
  </si>
  <si>
    <t>Paula Angelina Collua Villagran</t>
  </si>
  <si>
    <t>AUTOMOVIL</t>
  </si>
  <si>
    <t>VF7DDNFPBFJ515388</t>
  </si>
  <si>
    <t>10FC1A0060092</t>
  </si>
  <si>
    <t>P-976GFY</t>
  </si>
  <si>
    <t>Allan Ariel Mendoza Paz</t>
  </si>
  <si>
    <t>HUNK</t>
  </si>
  <si>
    <t>MBLKC13ESHGA00221</t>
  </si>
  <si>
    <t>KC13EFHGA00594</t>
  </si>
  <si>
    <t>M-509FJH</t>
  </si>
  <si>
    <t>Oscar Anibal Higueros Guin</t>
  </si>
  <si>
    <t>JTEGD20VX50058520</t>
  </si>
  <si>
    <t>2AZ 2009621</t>
  </si>
  <si>
    <t>P-229JKZ</t>
  </si>
  <si>
    <t>Helen Yessenia Méndez Escobar</t>
  </si>
  <si>
    <t>JTDBT933X84003177</t>
  </si>
  <si>
    <t>1NZ-4695153</t>
  </si>
  <si>
    <t>P-705DKB</t>
  </si>
  <si>
    <t>Kevin David Garcia Carrera</t>
  </si>
  <si>
    <t>JM1BK34L081829410</t>
  </si>
  <si>
    <t>L320265611</t>
  </si>
  <si>
    <t>P-589DPZ</t>
  </si>
  <si>
    <t>Haroldo Alvarado Sarti</t>
  </si>
  <si>
    <t>JM8KE2W78D0109002</t>
  </si>
  <si>
    <t>PE 30336222</t>
  </si>
  <si>
    <t>P-471FJN</t>
  </si>
  <si>
    <t>Juan de Dios Estrada Morataya</t>
  </si>
  <si>
    <t>JETTA</t>
  </si>
  <si>
    <t>3VW1K7AJ5CM333243</t>
  </si>
  <si>
    <t>CBP 308561</t>
  </si>
  <si>
    <t>P-711GKT</t>
  </si>
  <si>
    <t>Yoselin Gabriela Chun Alvarez</t>
  </si>
  <si>
    <t>CX-5 GRAND TOURING AWD</t>
  </si>
  <si>
    <t>JM3KE4DE6D0107414</t>
  </si>
  <si>
    <t>PE30280108</t>
  </si>
  <si>
    <t>P-765KWW</t>
  </si>
  <si>
    <t>Marvin Danilo Zelada Florian</t>
  </si>
  <si>
    <t>6</t>
  </si>
  <si>
    <t>JM1GJ1V69F1167801</t>
  </si>
  <si>
    <t>PY20322504</t>
  </si>
  <si>
    <t>P-882KVM</t>
  </si>
  <si>
    <t>karen Susana Mazariesgos Hercules</t>
  </si>
  <si>
    <t>JM1BK32F891218166</t>
  </si>
  <si>
    <t>LF10665714</t>
  </si>
  <si>
    <t>P-957FMV</t>
  </si>
  <si>
    <t>Harison Alexis Catu Semeya</t>
  </si>
  <si>
    <t>Yaris</t>
  </si>
  <si>
    <t>2NR5405130</t>
  </si>
  <si>
    <t>MR2B29F34L1193513</t>
  </si>
  <si>
    <t>P-703JXZ</t>
  </si>
  <si>
    <t>Ana Irene Caal  Istasuy</t>
  </si>
  <si>
    <t>ELANTRA</t>
  </si>
  <si>
    <t>KMHDH41CAGU431722</t>
  </si>
  <si>
    <t>G4FGEU172113</t>
  </si>
  <si>
    <t>P-107FWL</t>
  </si>
  <si>
    <t>Peter Phillip Lamport Ayau</t>
  </si>
  <si>
    <t>PILOT</t>
  </si>
  <si>
    <t>5KBYF5810KB600274</t>
  </si>
  <si>
    <t>J35Y6-5464632</t>
  </si>
  <si>
    <t>P-882HHD</t>
  </si>
  <si>
    <t>Byron Rodolfo Carias Aguilar</t>
  </si>
  <si>
    <t>GRAND CHEROKEE</t>
  </si>
  <si>
    <t>1C4RJFBM1EC542415</t>
  </si>
  <si>
    <t>*EC542415*</t>
  </si>
  <si>
    <t>P-538KFJ</t>
  </si>
  <si>
    <t>LAND CRUISER</t>
  </si>
  <si>
    <t>JTMHX05J7H5081500</t>
  </si>
  <si>
    <t>1UR-0617372</t>
  </si>
  <si>
    <t>P-344GLQ</t>
  </si>
  <si>
    <t>Rudy Benjamin Chub Toc</t>
  </si>
  <si>
    <t>Gixxer DFZ</t>
  </si>
  <si>
    <t>MB8ED13V1M8104828</t>
  </si>
  <si>
    <t>BGA1-760841</t>
  </si>
  <si>
    <t>M-255JCS</t>
  </si>
  <si>
    <t>Irene Lucrecia Saenz Rojas</t>
  </si>
  <si>
    <t>3VWSKM01M120629</t>
  </si>
  <si>
    <t>AVH028198</t>
  </si>
  <si>
    <t>P-444BTM</t>
  </si>
  <si>
    <t>Mirna Lisette Meza Martinez</t>
  </si>
  <si>
    <t>HR-V</t>
  </si>
  <si>
    <t>3HGRU5850GM502334</t>
  </si>
  <si>
    <t>R18Z9-1113046</t>
  </si>
  <si>
    <t>P-422GGB</t>
  </si>
  <si>
    <t>CERATO</t>
  </si>
  <si>
    <t>KNAFZ411BE5107827</t>
  </si>
  <si>
    <t>G4FGDH651736</t>
  </si>
  <si>
    <t>P-822FNS</t>
  </si>
  <si>
    <t>Deisy Yosemin Alvarado Ramirez</t>
  </si>
  <si>
    <t>CIVIC</t>
  </si>
  <si>
    <t>2HGFA16528H321546</t>
  </si>
  <si>
    <t>R18A1 2675564</t>
  </si>
  <si>
    <t>P-989JXF</t>
  </si>
  <si>
    <t>Miguel Angel López López</t>
  </si>
  <si>
    <t>JM1BK32F971715787</t>
  </si>
  <si>
    <t>LF10228779</t>
  </si>
  <si>
    <t>P-583GPT</t>
  </si>
  <si>
    <t>Evelyn Estibaliz Azurdia Castellanos</t>
  </si>
  <si>
    <t>SELTOS</t>
  </si>
  <si>
    <t>MZBER814BMN103297</t>
  </si>
  <si>
    <t>G4FGKZ550025</t>
  </si>
  <si>
    <t>P-863HRT</t>
  </si>
  <si>
    <t>Harold Eduard García Sierra</t>
  </si>
  <si>
    <t>ROGUE</t>
  </si>
  <si>
    <t>5N1AT2MTXFC753355</t>
  </si>
  <si>
    <t>530112V QR25</t>
  </si>
  <si>
    <t>P-216GYL</t>
  </si>
  <si>
    <t>Jorge Daniel Villatoro Pérez</t>
  </si>
  <si>
    <t>COROLLA</t>
  </si>
  <si>
    <t>2T1BU4EE4DC925837</t>
  </si>
  <si>
    <t>2ZR K582715</t>
  </si>
  <si>
    <t>P-401KQD</t>
  </si>
  <si>
    <t>Emersson Jhoan Jimenez Trigueros</t>
  </si>
  <si>
    <t>ROGUE 4X2</t>
  </si>
  <si>
    <t>JN8AS5MT2CW291140</t>
  </si>
  <si>
    <t>412494B QR25</t>
  </si>
  <si>
    <t>P-375KRY</t>
  </si>
  <si>
    <t>HR-V SPORT AWD</t>
  </si>
  <si>
    <t>3CZRU6H11LM728272</t>
  </si>
  <si>
    <t>R18Z9 0630109</t>
  </si>
  <si>
    <t>P-084HXD</t>
  </si>
  <si>
    <t>AZUL</t>
  </si>
  <si>
    <t>GRIS</t>
  </si>
  <si>
    <t>NEGRO</t>
  </si>
  <si>
    <t>VERDE</t>
  </si>
  <si>
    <t>BLANCO</t>
  </si>
  <si>
    <t>CORINTO</t>
  </si>
  <si>
    <t>BEIGE</t>
  </si>
  <si>
    <t>ROJO</t>
  </si>
  <si>
    <t>PLATA</t>
  </si>
  <si>
    <t>GRIS POLICROMADO</t>
  </si>
  <si>
    <t>PLATEADO</t>
  </si>
  <si>
    <t>CORINTO POLICROMADO</t>
  </si>
  <si>
    <t>Bronze metalico</t>
  </si>
  <si>
    <t>Negro</t>
  </si>
  <si>
    <t>BLANCO POLIGROMADO CON FILETE PLATEADO</t>
  </si>
  <si>
    <t>GRIS OSCURO POLICROMADO</t>
  </si>
  <si>
    <t>No</t>
  </si>
  <si>
    <t>Aseguradora</t>
  </si>
  <si>
    <t>Póliza</t>
  </si>
  <si>
    <t>Ejecutivo</t>
  </si>
  <si>
    <t>Estatus</t>
  </si>
  <si>
    <t>Lilian Castillo</t>
  </si>
  <si>
    <t>Activo</t>
  </si>
  <si>
    <t>1-AU-92286</t>
  </si>
  <si>
    <t>Nombre del cliente</t>
  </si>
  <si>
    <t>Vigencia Inicial</t>
  </si>
  <si>
    <t>Vigencia Final</t>
  </si>
  <si>
    <t>Excluido por sustitución</t>
  </si>
  <si>
    <t>TIGUAN</t>
  </si>
  <si>
    <t>WVGZZZ5NZGW000334</t>
  </si>
  <si>
    <t>P-658FYX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</si>
</sst>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&quot;$&quot;#,##0_);\(&quot;$&quot;#,##0\)"/>
    <numFmt numFmtId="166" formatCode="&quot;BAJAS: (dias de cobertura)&quot;0"/>
    <numFmt numFmtId="167" formatCode="&quot;BAJAS (dias de cobertura): &quot;0"/>
    <numFmt numFmtId="168" formatCode="&quot;día: &quot;0"/>
    <numFmt numFmtId="169" formatCode="&quot;mes: &quot;0"/>
    <numFmt numFmtId="170" formatCode="0&quot; meses. Lim.&quot;"/>
    <numFmt numFmtId="171" formatCode="0&quot; meses.RC.&quot;"/>
    <numFmt numFmtId="172" formatCode="_ * #,##0_ ;_ * \-#,##0_ ;_ * &quot;-&quot;_ ;_ @_ "/>
    <numFmt numFmtId="173" formatCode="_ * #,##0.00_ ;_ * \-#,##0.00_ ;_ * &quot;-&quot;??_ ;_ @_ "/>
    <numFmt numFmtId="174" formatCode="_-[$€-2]* #,##0.00_-;\-[$€-2]* #,##0.00_-;_-[$€-2]* &quot;-&quot;??_-"/>
    <numFmt numFmtId="175" formatCode="0.00&quot; (Sig.meses)&quot;"/>
    <numFmt numFmtId="176" formatCode="_-* #,##0\ _F_-;\-* #,##0\ _F_-;_-* &quot;-&quot;\ _F_-;_-@_-"/>
    <numFmt numFmtId="177" formatCode="_-* #,##0.00\ _F_-;\-* #,##0.00\ _F_-;_-* &quot;-&quot;??\ _F_-;_-@_-"/>
    <numFmt numFmtId="178" formatCode="_-&quot;F&quot;\ * #,##0_-;_-&quot;F&quot;\ * #,##0\-;_-&quot;F&quot;\ * &quot;-&quot;_-;_-@_-"/>
    <numFmt numFmtId="179" formatCode="&quot;FRONTERIZO IMPORTADO 5 PAS. VALOR: $&quot;0"/>
    <numFmt numFmtId="180" formatCode="#,##0.0"/>
    <numFmt numFmtId="181" formatCode="&quot;AMERICANO (A); ORIENTAL (O); EUROPEO (E):&quot;"/>
    <numFmt numFmtId="182" formatCode="&quot;AMERICANO (A); ORIENTAL (O); EUROPEO (E): &quot;0"/>
    <numFmt numFmtId="183" formatCode="_-* #,##0_-;\-* #,##0_-;_-* &quot;-&quot;??_-;_-@_-"/>
    <numFmt numFmtId="184" formatCode="0.0%"/>
    <numFmt numFmtId="185" formatCode="dd/mm/yyyy;@"/>
    <numFmt numFmtId="186" formatCode="_(&quot;Q&quot;* #,##0.00_);_(&quot;Q&quot;* \(#,##0.00\);_(&quot;Q&quot;* &quot;-&quot;??_);_(@_)"/>
  </numFmts>
  <fonts count="4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1"/>
      <scheme val="minor"/>
    </font>
    <font>
      <sz val="8"/>
      <name val="Arial"/>
      <family val="2"/>
    </font>
    <font>
      <b/>
      <sz val="10"/>
      <name val="MS Sans Serif"/>
      <family val="2"/>
    </font>
    <font>
      <sz val="10"/>
      <name val="Times New Roman"/>
      <family val="1"/>
    </font>
    <font>
      <sz val="10"/>
      <name val="Arial"/>
      <family val="2"/>
    </font>
    <font>
      <sz val="10"/>
      <color indexed="8"/>
      <name val="Arial"/>
      <family val="2"/>
    </font>
    <font>
      <b/>
      <sz val="12"/>
      <name val="Arial"/>
      <family val="2"/>
    </font>
    <font>
      <u/>
      <sz val="8"/>
      <color indexed="12"/>
      <name val="Times New Roman"/>
      <family val="1"/>
    </font>
    <font>
      <sz val="10"/>
      <name val="Century Gothic"/>
      <family val="2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8"/>
      <color rgb="FF6A2D97"/>
      <name val="Arial"/>
      <family val="2"/>
    </font>
    <font>
      <b/>
      <sz val="8"/>
      <color theme="0"/>
      <name val="Calibri"/>
      <family val="2"/>
      <scheme val="minor"/>
    </font>
    <font>
      <sz val="11"/>
      <name val="Arial Narrow"/>
      <family val="2"/>
    </font>
    <font>
      <sz val="18"/>
      <color theme="3"/>
      <name val="Cambria"/>
      <family val="2"/>
      <scheme val="major"/>
    </font>
    <font>
      <sz val="9"/>
      <color theme="7" tint="-0.249977111117893"/>
      <name val="Calibri"/>
      <family val="2"/>
      <scheme val="minor"/>
    </font>
    <font>
      <b/>
      <sz val="11"/>
      <color theme="7" tint="-0.249977111117893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b/>
      <sz val="11"/>
      <color theme="7" tint="0.79998168889431442"/>
      <name val="Calibri"/>
      <family val="2"/>
      <scheme val="minor"/>
    </font>
    <font>
      <b/>
      <sz val="20"/>
      <color theme="7" tint="-0.249977111117893"/>
      <name val="Calibri"/>
      <family val="2"/>
      <scheme val="minor"/>
    </font>
    <font>
      <sz val="11"/>
      <color theme="7" tint="0.79998168889431442"/>
      <name val="Calibri"/>
      <family val="2"/>
      <scheme val="minor"/>
    </font>
    <font>
      <sz val="10"/>
      <color theme="7" tint="-0.249977111117893"/>
      <name val="Calibri"/>
      <family val="2"/>
      <scheme val="minor"/>
    </font>
    <font>
      <b/>
      <sz val="9"/>
      <color theme="7" tint="-0.249977111117893"/>
      <name val="Calibri"/>
      <family val="2"/>
      <scheme val="minor"/>
    </font>
    <font>
      <b/>
      <sz val="13"/>
      <color theme="7" tint="0.79998168889431442"/>
      <name val="Calibri"/>
      <family val="2"/>
      <scheme val="minor"/>
    </font>
    <font>
      <b/>
      <sz val="20"/>
      <color rgb="FF800080"/>
      <name val="Calibri"/>
      <family val="2"/>
      <scheme val="minor"/>
    </font>
    <font>
      <b/>
      <sz val="11"/>
      <color rgb="FF800080"/>
      <name val="Calibri"/>
      <family val="2"/>
      <scheme val="minor"/>
    </font>
    <font>
      <b/>
      <sz val="12"/>
      <color theme="7" tint="-0.249977111117893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7" tint="-0.249977111117893"/>
      <name val="Calibri"/>
      <family val="2"/>
    </font>
    <font>
      <b/>
      <sz val="10"/>
      <color theme="7" tint="-0.249977111117893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8"/>
      <color rgb="FF6A2D97"/>
      <name val="Times New Roman"/>
      <family val="1"/>
    </font>
    <font>
      <b/>
      <sz val="28"/>
      <color theme="7" tint="-0.249977111117893"/>
      <name val="Times New Roman"/>
      <family val="1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b/>
      <sz val="8"/>
      <color rgb="FFFFFFFF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4F2F8"/>
        <bgColor indexed="64"/>
      </patternFill>
    </fill>
    <fill>
      <patternFill patternType="solid">
        <fgColor rgb="FFEBE7ED"/>
        <bgColor indexed="64"/>
      </patternFill>
    </fill>
    <fill>
      <patternFill patternType="solid">
        <fgColor theme="7" tint="-0.2499465926084170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C2A8F0"/>
        <bgColor indexed="64"/>
      </patternFill>
    </fill>
    <fill>
      <patternFill patternType="solid">
        <fgColor rgb="FF7F35B2"/>
        <bgColor indexed="64"/>
      </patternFill>
    </fill>
    <fill>
      <patternFill patternType="solid">
        <fgColor rgb="FF7F35B2"/>
        <bgColor rgb="FF000000"/>
      </patternFill>
    </fill>
    <fill>
      <patternFill patternType="solid">
        <fgColor rgb="FFC2A8F0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rgb="FFEBE7ED"/>
      </left>
      <right/>
      <top style="thin">
        <color rgb="FFEBE7ED"/>
      </top>
      <bottom style="thin">
        <color rgb="FFEBE7ED"/>
      </bottom>
      <diagonal/>
    </border>
    <border>
      <left/>
      <right/>
      <top style="thin">
        <color rgb="FFEBE7ED"/>
      </top>
      <bottom style="thin">
        <color rgb="FFEBE7ED"/>
      </bottom>
      <diagonal/>
    </border>
    <border>
      <left/>
      <right style="thin">
        <color rgb="FFEBE7ED"/>
      </right>
      <top style="thin">
        <color rgb="FFEBE7ED"/>
      </top>
      <bottom style="thin">
        <color rgb="FFEBE7ED"/>
      </bottom>
      <diagonal/>
    </border>
    <border>
      <left/>
      <right/>
      <top/>
      <bottom style="thin">
        <color theme="7" tint="0.39997558519241921"/>
      </bottom>
      <diagonal/>
    </border>
    <border>
      <left/>
      <right/>
      <top style="thin">
        <color theme="7" tint="0.3999755851924192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</borders>
  <cellStyleXfs count="101">
    <xf numFmtId="0" fontId="0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165" fontId="4" fillId="0" borderId="1" applyAlignment="0" applyProtection="0"/>
    <xf numFmtId="166" fontId="5" fillId="0" borderId="0" applyFill="0" applyBorder="0" applyAlignment="0"/>
    <xf numFmtId="167" fontId="5" fillId="0" borderId="0" applyFill="0" applyBorder="0" applyAlignment="0"/>
    <xf numFmtId="168" fontId="5" fillId="0" borderId="0" applyFill="0" applyBorder="0" applyAlignment="0"/>
    <xf numFmtId="169" fontId="5" fillId="0" borderId="0" applyFill="0" applyBorder="0" applyAlignment="0"/>
    <xf numFmtId="170" fontId="5" fillId="0" borderId="0" applyFill="0" applyBorder="0" applyAlignment="0"/>
    <xf numFmtId="166" fontId="5" fillId="0" borderId="0" applyFill="0" applyBorder="0" applyAlignment="0"/>
    <xf numFmtId="171" fontId="5" fillId="0" borderId="0" applyFill="0" applyBorder="0" applyAlignment="0"/>
    <xf numFmtId="167" fontId="5" fillId="0" borderId="0" applyFill="0" applyBorder="0" applyAlignment="0"/>
    <xf numFmtId="166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4" fontId="7" fillId="0" borderId="0" applyFill="0" applyBorder="0" applyAlignment="0"/>
    <xf numFmtId="172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66" fontId="5" fillId="0" borderId="0" applyFill="0" applyBorder="0" applyAlignment="0"/>
    <xf numFmtId="167" fontId="5" fillId="0" borderId="0" applyFill="0" applyBorder="0" applyAlignment="0"/>
    <xf numFmtId="166" fontId="5" fillId="0" borderId="0" applyFill="0" applyBorder="0" applyAlignment="0"/>
    <xf numFmtId="171" fontId="5" fillId="0" borderId="0" applyFill="0" applyBorder="0" applyAlignment="0"/>
    <xf numFmtId="167" fontId="5" fillId="0" borderId="0" applyFill="0" applyBorder="0" applyAlignment="0"/>
    <xf numFmtId="0" fontId="6" fillId="0" borderId="0"/>
    <xf numFmtId="0" fontId="6" fillId="0" borderId="0"/>
    <xf numFmtId="174" fontId="5" fillId="0" borderId="0" applyFont="0" applyFill="0" applyBorder="0" applyAlignment="0" applyProtection="0"/>
    <xf numFmtId="38" fontId="3" fillId="3" borderId="0" applyNumberFormat="0" applyBorder="0" applyAlignment="0" applyProtection="0"/>
    <xf numFmtId="0" fontId="8" fillId="0" borderId="7" applyNumberFormat="0" applyAlignment="0" applyProtection="0">
      <alignment horizontal="left" vertical="center"/>
    </xf>
    <xf numFmtId="0" fontId="8" fillId="0" borderId="3">
      <alignment horizontal="left" vertical="center"/>
    </xf>
    <xf numFmtId="0" fontId="9" fillId="0" borderId="0" applyNumberFormat="0" applyFill="0" applyBorder="0" applyAlignment="0" applyProtection="0">
      <alignment vertical="top"/>
      <protection locked="0"/>
    </xf>
    <xf numFmtId="10" fontId="3" fillId="4" borderId="6" applyNumberFormat="0" applyBorder="0" applyAlignment="0" applyProtection="0"/>
    <xf numFmtId="175" fontId="5" fillId="5" borderId="2">
      <alignment horizontal="center"/>
    </xf>
    <xf numFmtId="175" fontId="5" fillId="5" borderId="2">
      <alignment horizontal="center"/>
    </xf>
    <xf numFmtId="166" fontId="5" fillId="0" borderId="0" applyFill="0" applyBorder="0" applyAlignment="0"/>
    <xf numFmtId="167" fontId="5" fillId="0" borderId="0" applyFill="0" applyBorder="0" applyAlignment="0"/>
    <xf numFmtId="166" fontId="5" fillId="0" borderId="0" applyFill="0" applyBorder="0" applyAlignment="0"/>
    <xf numFmtId="171" fontId="5" fillId="0" borderId="0" applyFill="0" applyBorder="0" applyAlignment="0"/>
    <xf numFmtId="167" fontId="5" fillId="0" borderId="0" applyFill="0" applyBorder="0" applyAlignment="0"/>
    <xf numFmtId="0" fontId="6" fillId="0" borderId="0"/>
    <xf numFmtId="0" fontId="6" fillId="0" borderId="0"/>
    <xf numFmtId="0" fontId="6" fillId="0" borderId="0"/>
    <xf numFmtId="43" fontId="10" fillId="0" borderId="0" applyFont="0" applyFill="0" applyBorder="0" applyAlignment="0" applyProtection="0"/>
    <xf numFmtId="4" fontId="5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76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6" fillId="0" borderId="0"/>
    <xf numFmtId="0" fontId="6" fillId="0" borderId="0"/>
    <xf numFmtId="178" fontId="5" fillId="0" borderId="0"/>
    <xf numFmtId="0" fontId="10" fillId="0" borderId="0"/>
    <xf numFmtId="0" fontId="1" fillId="0" borderId="0"/>
    <xf numFmtId="0" fontId="10" fillId="0" borderId="0"/>
    <xf numFmtId="0" fontId="2" fillId="0" borderId="0"/>
    <xf numFmtId="0" fontId="5" fillId="0" borderId="0"/>
    <xf numFmtId="0" fontId="11" fillId="0" borderId="0"/>
    <xf numFmtId="0" fontId="6" fillId="0" borderId="0"/>
    <xf numFmtId="0" fontId="1" fillId="0" borderId="0"/>
    <xf numFmtId="0" fontId="10" fillId="0" borderId="0"/>
    <xf numFmtId="0" fontId="6" fillId="0" borderId="0">
      <alignment vertical="top"/>
    </xf>
    <xf numFmtId="0" fontId="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0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0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0" fillId="0" borderId="0" applyFont="0" applyFill="0" applyBorder="0" applyAlignment="0" applyProtection="0"/>
    <xf numFmtId="166" fontId="5" fillId="0" borderId="0" applyFill="0" applyBorder="0" applyAlignment="0"/>
    <xf numFmtId="167" fontId="5" fillId="0" borderId="0" applyFill="0" applyBorder="0" applyAlignment="0"/>
    <xf numFmtId="166" fontId="5" fillId="0" borderId="0" applyFill="0" applyBorder="0" applyAlignment="0"/>
    <xf numFmtId="171" fontId="5" fillId="0" borderId="0" applyFill="0" applyBorder="0" applyAlignment="0"/>
    <xf numFmtId="167" fontId="5" fillId="0" borderId="0" applyFill="0" applyBorder="0" applyAlignment="0"/>
    <xf numFmtId="180" fontId="6" fillId="0" borderId="0" applyFill="0" applyBorder="0" applyAlignment="0" applyProtection="0"/>
    <xf numFmtId="180" fontId="6" fillId="0" borderId="0" applyFill="0" applyBorder="0" applyAlignment="0" applyProtection="0"/>
    <xf numFmtId="49" fontId="7" fillId="0" borderId="0" applyFill="0" applyBorder="0" applyAlignment="0"/>
    <xf numFmtId="181" fontId="5" fillId="0" borderId="0" applyFill="0" applyBorder="0" applyAlignment="0"/>
    <xf numFmtId="182" fontId="5" fillId="0" borderId="0" applyFill="0" applyBorder="0" applyAlignment="0"/>
    <xf numFmtId="0" fontId="2" fillId="0" borderId="0"/>
    <xf numFmtId="0" fontId="2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0" fontId="15" fillId="0" borderId="0"/>
    <xf numFmtId="0" fontId="16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1" fillId="0" borderId="0"/>
    <xf numFmtId="186" fontId="1" fillId="0" borderId="0" applyFont="0" applyFill="0" applyBorder="0" applyAlignment="0" applyProtection="0"/>
  </cellStyleXfs>
  <cellXfs count="120">
    <xf numFmtId="0" fontId="0" fillId="0" borderId="0" xfId="0"/>
    <xf numFmtId="0" fontId="12" fillId="2" borderId="0" xfId="0" applyFont="1" applyFill="1" applyAlignment="1" applyProtection="1">
      <alignment horizontal="center" wrapText="1"/>
      <protection hidden="1"/>
    </xf>
    <xf numFmtId="0" fontId="13" fillId="2" borderId="0" xfId="4" applyFont="1" applyFill="1" applyAlignment="1">
      <alignment horizontal="left" vertical="center"/>
    </xf>
    <xf numFmtId="0" fontId="0" fillId="0" borderId="0" xfId="0" applyAlignment="1">
      <alignment vertical="center"/>
    </xf>
    <xf numFmtId="3" fontId="19" fillId="9" borderId="4" xfId="0" applyNumberFormat="1" applyFont="1" applyFill="1" applyBorder="1" applyAlignment="1">
      <alignment horizontal="center" vertical="center" wrapText="1"/>
    </xf>
    <xf numFmtId="3" fontId="19" fillId="7" borderId="4" xfId="0" applyNumberFormat="1" applyFont="1" applyFill="1" applyBorder="1" applyAlignment="1">
      <alignment horizontal="center" vertical="center" wrapText="1"/>
    </xf>
    <xf numFmtId="0" fontId="19" fillId="0" borderId="0" xfId="0" applyFont="1"/>
    <xf numFmtId="9" fontId="19" fillId="10" borderId="4" xfId="94" applyFont="1" applyFill="1" applyBorder="1" applyAlignment="1">
      <alignment horizontal="center" vertical="center" wrapText="1"/>
    </xf>
    <xf numFmtId="0" fontId="21" fillId="0" borderId="0" xfId="0" applyFont="1"/>
    <xf numFmtId="0" fontId="22" fillId="0" borderId="0" xfId="0" applyFont="1"/>
    <xf numFmtId="0" fontId="17" fillId="0" borderId="0" xfId="0" applyFont="1" applyAlignment="1">
      <alignment horizontal="left"/>
    </xf>
    <xf numFmtId="0" fontId="25" fillId="6" borderId="10" xfId="0" applyFont="1" applyFill="1" applyBorder="1" applyAlignment="1">
      <alignment horizontal="center" vertical="center" wrapText="1"/>
    </xf>
    <xf numFmtId="0" fontId="19" fillId="10" borderId="4" xfId="0" applyFont="1" applyFill="1" applyBorder="1" applyAlignment="1">
      <alignment horizontal="left" vertical="center" wrapText="1"/>
    </xf>
    <xf numFmtId="0" fontId="26" fillId="0" borderId="0" xfId="0" applyFont="1"/>
    <xf numFmtId="3" fontId="0" fillId="0" borderId="0" xfId="0" applyNumberFormat="1"/>
    <xf numFmtId="0" fontId="20" fillId="11" borderId="5" xfId="0" applyFont="1" applyFill="1" applyBorder="1" applyAlignment="1">
      <alignment horizontal="left" vertical="center"/>
    </xf>
    <xf numFmtId="0" fontId="27" fillId="0" borderId="0" xfId="0" applyFont="1" applyAlignment="1">
      <alignment vertical="center" wrapText="1"/>
    </xf>
    <xf numFmtId="0" fontId="27" fillId="0" borderId="0" xfId="0" applyFont="1" applyAlignment="1">
      <alignment horizontal="center" vertical="center" wrapText="1"/>
    </xf>
    <xf numFmtId="183" fontId="0" fillId="0" borderId="0" xfId="97" applyNumberFormat="1" applyFont="1"/>
    <xf numFmtId="0" fontId="20" fillId="0" borderId="0" xfId="0" applyFont="1" applyAlignment="1">
      <alignment vertical="center"/>
    </xf>
    <xf numFmtId="0" fontId="20" fillId="0" borderId="0" xfId="0" applyFont="1" applyAlignment="1">
      <alignment vertical="center" wrapText="1"/>
    </xf>
    <xf numFmtId="0" fontId="19" fillId="2" borderId="0" xfId="0" applyFont="1" applyFill="1"/>
    <xf numFmtId="0" fontId="18" fillId="2" borderId="0" xfId="0" applyFont="1" applyFill="1" applyAlignment="1">
      <alignment horizontal="center" vertical="center" wrapText="1"/>
    </xf>
    <xf numFmtId="0" fontId="19" fillId="7" borderId="5" xfId="0" applyFont="1" applyFill="1" applyBorder="1" applyAlignment="1">
      <alignment horizontal="center" vertical="center" wrapText="1"/>
    </xf>
    <xf numFmtId="3" fontId="19" fillId="7" borderId="5" xfId="0" applyNumberFormat="1" applyFont="1" applyFill="1" applyBorder="1" applyAlignment="1">
      <alignment horizontal="center" vertical="center" wrapText="1"/>
    </xf>
    <xf numFmtId="3" fontId="19" fillId="10" borderId="11" xfId="0" applyNumberFormat="1" applyFont="1" applyFill="1" applyBorder="1" applyAlignment="1">
      <alignment horizontal="center" vertical="center" wrapText="1"/>
    </xf>
    <xf numFmtId="3" fontId="19" fillId="10" borderId="5" xfId="0" applyNumberFormat="1" applyFont="1" applyFill="1" applyBorder="1" applyAlignment="1">
      <alignment horizontal="center" vertical="center" wrapText="1"/>
    </xf>
    <xf numFmtId="0" fontId="19" fillId="9" borderId="9" xfId="0" applyFont="1" applyFill="1" applyBorder="1" applyAlignment="1">
      <alignment horizontal="center" vertical="center" wrapText="1"/>
    </xf>
    <xf numFmtId="3" fontId="19" fillId="9" borderId="8" xfId="0" applyNumberFormat="1" applyFont="1" applyFill="1" applyBorder="1" applyAlignment="1">
      <alignment horizontal="center" vertical="center" wrapText="1"/>
    </xf>
    <xf numFmtId="3" fontId="19" fillId="9" borderId="12" xfId="0" applyNumberFormat="1" applyFont="1" applyFill="1" applyBorder="1" applyAlignment="1">
      <alignment horizontal="center" vertical="center" wrapText="1"/>
    </xf>
    <xf numFmtId="3" fontId="19" fillId="9" borderId="13" xfId="0" applyNumberFormat="1" applyFont="1" applyFill="1" applyBorder="1" applyAlignment="1">
      <alignment horizontal="center" vertical="center" wrapText="1"/>
    </xf>
    <xf numFmtId="0" fontId="19" fillId="0" borderId="4" xfId="0" applyFont="1" applyBorder="1"/>
    <xf numFmtId="3" fontId="19" fillId="0" borderId="4" xfId="0" applyNumberFormat="1" applyFont="1" applyBorder="1"/>
    <xf numFmtId="0" fontId="19" fillId="0" borderId="0" xfId="0" applyFont="1" applyAlignment="1">
      <alignment horizontal="center"/>
    </xf>
    <xf numFmtId="0" fontId="28" fillId="7" borderId="4" xfId="0" applyFont="1" applyFill="1" applyBorder="1" applyAlignment="1">
      <alignment horizontal="center" vertical="center" wrapText="1"/>
    </xf>
    <xf numFmtId="3" fontId="28" fillId="7" borderId="4" xfId="0" applyNumberFormat="1" applyFont="1" applyFill="1" applyBorder="1" applyAlignment="1">
      <alignment horizontal="center" vertical="center" wrapText="1"/>
    </xf>
    <xf numFmtId="3" fontId="28" fillId="10" borderId="4" xfId="0" applyNumberFormat="1" applyFont="1" applyFill="1" applyBorder="1" applyAlignment="1">
      <alignment horizontal="center" vertical="center" wrapText="1"/>
    </xf>
    <xf numFmtId="0" fontId="29" fillId="0" borderId="0" xfId="0" applyFont="1"/>
    <xf numFmtId="0" fontId="19" fillId="9" borderId="4" xfId="0" applyFont="1" applyFill="1" applyBorder="1" applyAlignment="1">
      <alignment horizontal="center" vertical="center" wrapText="1"/>
    </xf>
    <xf numFmtId="3" fontId="23" fillId="9" borderId="4" xfId="0" applyNumberFormat="1" applyFont="1" applyFill="1" applyBorder="1" applyAlignment="1">
      <alignment horizontal="center" vertical="center" wrapText="1"/>
    </xf>
    <xf numFmtId="3" fontId="19" fillId="0" borderId="4" xfId="0" applyNumberFormat="1" applyFont="1" applyBorder="1" applyAlignment="1">
      <alignment horizontal="center"/>
    </xf>
    <xf numFmtId="0" fontId="18" fillId="7" borderId="4" xfId="0" applyFont="1" applyFill="1" applyBorder="1" applyAlignment="1">
      <alignment horizontal="center" vertical="center" wrapText="1"/>
    </xf>
    <xf numFmtId="0" fontId="19" fillId="0" borderId="4" xfId="0" applyFont="1" applyBorder="1" applyAlignment="1">
      <alignment horizontal="center"/>
    </xf>
    <xf numFmtId="9" fontId="28" fillId="9" borderId="4" xfId="94" applyFont="1" applyFill="1" applyBorder="1" applyAlignment="1">
      <alignment horizontal="center" vertical="center" wrapText="1"/>
    </xf>
    <xf numFmtId="184" fontId="19" fillId="9" borderId="4" xfId="94" applyNumberFormat="1" applyFont="1" applyFill="1" applyBorder="1" applyAlignment="1">
      <alignment horizontal="center" vertical="center" wrapText="1"/>
    </xf>
    <xf numFmtId="184" fontId="27" fillId="0" borderId="0" xfId="0" applyNumberFormat="1" applyFont="1" applyAlignment="1">
      <alignment horizontal="center" vertical="center" wrapText="1"/>
    </xf>
    <xf numFmtId="0" fontId="24" fillId="0" borderId="0" xfId="0" applyFont="1" applyAlignment="1">
      <alignment horizontal="left"/>
    </xf>
    <xf numFmtId="0" fontId="18" fillId="10" borderId="4" xfId="0" applyFont="1" applyFill="1" applyBorder="1" applyAlignment="1">
      <alignment horizontal="left" vertical="center" wrapText="1"/>
    </xf>
    <xf numFmtId="49" fontId="0" fillId="0" borderId="0" xfId="0" applyNumberFormat="1"/>
    <xf numFmtId="14" fontId="0" fillId="0" borderId="0" xfId="0" applyNumberFormat="1"/>
    <xf numFmtId="1" fontId="0" fillId="0" borderId="0" xfId="0" applyNumberFormat="1"/>
    <xf numFmtId="0" fontId="18" fillId="12" borderId="4" xfId="0" applyFont="1" applyFill="1" applyBorder="1" applyAlignment="1">
      <alignment horizontal="center" vertical="center" wrapText="1"/>
    </xf>
    <xf numFmtId="184" fontId="19" fillId="10" borderId="4" xfId="94" applyNumberFormat="1" applyFont="1" applyFill="1" applyBorder="1" applyAlignment="1">
      <alignment horizontal="center" vertical="center" wrapText="1"/>
    </xf>
    <xf numFmtId="4" fontId="19" fillId="7" borderId="4" xfId="0" applyNumberFormat="1" applyFont="1" applyFill="1" applyBorder="1" applyAlignment="1">
      <alignment horizontal="center" vertical="center" wrapText="1"/>
    </xf>
    <xf numFmtId="4" fontId="27" fillId="0" borderId="0" xfId="0" applyNumberFormat="1" applyFont="1" applyAlignment="1">
      <alignment horizontal="center" vertical="center" wrapText="1"/>
    </xf>
    <xf numFmtId="4" fontId="19" fillId="10" borderId="4" xfId="94" applyNumberFormat="1" applyFont="1" applyFill="1" applyBorder="1" applyAlignment="1">
      <alignment horizontal="center" vertical="center" wrapText="1"/>
    </xf>
    <xf numFmtId="0" fontId="28" fillId="12" borderId="4" xfId="0" applyFont="1" applyFill="1" applyBorder="1" applyAlignment="1">
      <alignment horizontal="center" vertical="center" wrapText="1"/>
    </xf>
    <xf numFmtId="0" fontId="31" fillId="0" borderId="4" xfId="0" applyFont="1" applyBorder="1" applyAlignment="1">
      <alignment vertical="center" wrapText="1"/>
    </xf>
    <xf numFmtId="0" fontId="32" fillId="0" borderId="4" xfId="0" applyFont="1" applyBorder="1" applyAlignment="1">
      <alignment vertical="center" wrapText="1"/>
    </xf>
    <xf numFmtId="0" fontId="33" fillId="0" borderId="0" xfId="0" applyFont="1" applyAlignment="1">
      <alignment horizontal="center" vertical="center" wrapText="1"/>
    </xf>
    <xf numFmtId="0" fontId="34" fillId="0" borderId="0" xfId="0" applyFont="1" applyAlignment="1">
      <alignment horizontal="center"/>
    </xf>
    <xf numFmtId="0" fontId="20" fillId="6" borderId="10" xfId="0" applyFont="1" applyFill="1" applyBorder="1" applyAlignment="1">
      <alignment horizontal="center" vertical="center" wrapText="1"/>
    </xf>
    <xf numFmtId="14" fontId="19" fillId="9" borderId="9" xfId="0" applyNumberFormat="1" applyFont="1" applyFill="1" applyBorder="1" applyAlignment="1">
      <alignment horizontal="center" vertical="center" wrapText="1"/>
    </xf>
    <xf numFmtId="14" fontId="19" fillId="7" borderId="9" xfId="0" applyNumberFormat="1" applyFont="1" applyFill="1" applyBorder="1" applyAlignment="1">
      <alignment horizontal="center" vertical="center" wrapText="1"/>
    </xf>
    <xf numFmtId="9" fontId="19" fillId="7" borderId="4" xfId="0" applyNumberFormat="1" applyFont="1" applyFill="1" applyBorder="1" applyAlignment="1">
      <alignment horizontal="center" vertical="center" wrapText="1"/>
    </xf>
    <xf numFmtId="0" fontId="12" fillId="2" borderId="0" xfId="4" applyFont="1" applyFill="1" applyProtection="1">
      <protection hidden="1"/>
    </xf>
    <xf numFmtId="0" fontId="33" fillId="14" borderId="9" xfId="0" applyFont="1" applyFill="1" applyBorder="1" applyAlignment="1">
      <alignment horizontal="center" vertical="center" wrapText="1"/>
    </xf>
    <xf numFmtId="9" fontId="19" fillId="9" borderId="4" xfId="0" applyNumberFormat="1" applyFont="1" applyFill="1" applyBorder="1" applyAlignment="1">
      <alignment horizontal="center" vertical="center" wrapText="1"/>
    </xf>
    <xf numFmtId="9" fontId="18" fillId="9" borderId="4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4" fontId="0" fillId="0" borderId="0" xfId="0" applyNumberFormat="1"/>
    <xf numFmtId="0" fontId="0" fillId="0" borderId="0" xfId="0" pivotButton="1"/>
    <xf numFmtId="184" fontId="19" fillId="7" borderId="4" xfId="94" applyNumberFormat="1" applyFont="1" applyFill="1" applyBorder="1" applyAlignment="1">
      <alignment horizontal="center" vertical="center" wrapText="1"/>
    </xf>
    <xf numFmtId="4" fontId="19" fillId="9" borderId="4" xfId="94" applyNumberFormat="1" applyFont="1" applyFill="1" applyBorder="1" applyAlignment="1">
      <alignment horizontal="center" vertical="center" wrapText="1"/>
    </xf>
    <xf numFmtId="3" fontId="19" fillId="9" borderId="4" xfId="94" applyNumberFormat="1" applyFont="1" applyFill="1" applyBorder="1" applyAlignment="1">
      <alignment horizontal="center" vertical="center" wrapText="1"/>
    </xf>
    <xf numFmtId="3" fontId="19" fillId="10" borderId="4" xfId="94" applyNumberFormat="1" applyFont="1" applyFill="1" applyBorder="1" applyAlignment="1">
      <alignment horizontal="center" vertical="center" wrapText="1"/>
    </xf>
    <xf numFmtId="184" fontId="19" fillId="9" borderId="8" xfId="94" applyNumberFormat="1" applyFont="1" applyFill="1" applyBorder="1" applyAlignment="1">
      <alignment horizontal="center" vertical="center" wrapText="1"/>
    </xf>
    <xf numFmtId="0" fontId="35" fillId="2" borderId="0" xfId="4" applyFont="1" applyFill="1" applyAlignment="1">
      <alignment horizontal="left" vertical="center"/>
    </xf>
    <xf numFmtId="0" fontId="36" fillId="0" borderId="0" xfId="0" applyFont="1"/>
    <xf numFmtId="0" fontId="37" fillId="15" borderId="17" xfId="0" applyFont="1" applyFill="1" applyBorder="1"/>
    <xf numFmtId="0" fontId="34" fillId="0" borderId="0" xfId="0" applyFont="1"/>
    <xf numFmtId="10" fontId="0" fillId="0" borderId="0" xfId="0" applyNumberFormat="1"/>
    <xf numFmtId="43" fontId="0" fillId="0" borderId="0" xfId="0" applyNumberFormat="1"/>
    <xf numFmtId="183" fontId="0" fillId="0" borderId="0" xfId="0" applyNumberFormat="1"/>
    <xf numFmtId="43" fontId="0" fillId="0" borderId="0" xfId="97" applyFont="1"/>
    <xf numFmtId="43" fontId="38" fillId="0" borderId="0" xfId="97" applyFont="1"/>
    <xf numFmtId="43" fontId="37" fillId="15" borderId="18" xfId="0" applyNumberFormat="1" applyFont="1" applyFill="1" applyBorder="1"/>
    <xf numFmtId="3" fontId="18" fillId="12" borderId="4" xfId="0" applyNumberFormat="1" applyFont="1" applyFill="1" applyBorder="1" applyAlignment="1">
      <alignment horizontal="center" vertical="center" wrapText="1"/>
    </xf>
    <xf numFmtId="3" fontId="27" fillId="0" borderId="0" xfId="0" applyNumberFormat="1" applyFont="1" applyAlignment="1">
      <alignment horizontal="center" vertical="center" wrapText="1"/>
    </xf>
    <xf numFmtId="4" fontId="28" fillId="12" borderId="4" xfId="0" applyNumberFormat="1" applyFont="1" applyFill="1" applyBorder="1" applyAlignment="1">
      <alignment horizontal="center" vertical="center" wrapText="1"/>
    </xf>
    <xf numFmtId="14" fontId="39" fillId="13" borderId="5" xfId="0" applyNumberFormat="1" applyFont="1" applyFill="1" applyBorder="1" applyAlignment="1">
      <alignment horizontal="center" vertical="center" wrapText="1"/>
    </xf>
    <xf numFmtId="3" fontId="39" fillId="13" borderId="5" xfId="0" applyNumberFormat="1" applyFont="1" applyFill="1" applyBorder="1" applyAlignment="1">
      <alignment horizontal="center" vertical="center" wrapText="1"/>
    </xf>
    <xf numFmtId="3" fontId="18" fillId="13" borderId="4" xfId="0" applyNumberFormat="1" applyFont="1" applyFill="1" applyBorder="1" applyAlignment="1">
      <alignment horizontal="center" vertical="center" wrapText="1"/>
    </xf>
    <xf numFmtId="185" fontId="0" fillId="0" borderId="0" xfId="0" applyNumberFormat="1"/>
    <xf numFmtId="49" fontId="40" fillId="16" borderId="10" xfId="0" applyNumberFormat="1" applyFont="1" applyFill="1" applyBorder="1" applyAlignment="1">
      <alignment horizontal="center" vertical="center" wrapText="1"/>
    </xf>
    <xf numFmtId="185" fontId="40" fillId="16" borderId="10" xfId="0" applyNumberFormat="1" applyFont="1" applyFill="1" applyBorder="1" applyAlignment="1">
      <alignment horizontal="center" vertical="center" wrapText="1"/>
    </xf>
    <xf numFmtId="0" fontId="14" fillId="8" borderId="19" xfId="0" applyFont="1" applyFill="1" applyBorder="1" applyAlignment="1">
      <alignment horizontal="center" vertical="center" wrapText="1"/>
    </xf>
    <xf numFmtId="0" fontId="40" fillId="18" borderId="20" xfId="0" applyFont="1" applyFill="1" applyBorder="1" applyAlignment="1">
      <alignment horizontal="center" vertical="center" wrapText="1"/>
    </xf>
    <xf numFmtId="0" fontId="40" fillId="19" borderId="20" xfId="0" applyFont="1" applyFill="1" applyBorder="1" applyAlignment="1">
      <alignment horizontal="center" vertical="center" wrapText="1"/>
    </xf>
    <xf numFmtId="4" fontId="14" fillId="17" borderId="19" xfId="0" applyNumberFormat="1" applyFont="1" applyFill="1" applyBorder="1" applyAlignment="1">
      <alignment horizontal="center" vertical="center" wrapText="1"/>
    </xf>
    <xf numFmtId="49" fontId="14" fillId="16" borderId="19" xfId="0" applyNumberFormat="1" applyFont="1" applyFill="1" applyBorder="1" applyAlignment="1">
      <alignment horizontal="center" vertical="center" wrapText="1"/>
    </xf>
    <xf numFmtId="0" fontId="14" fillId="16" borderId="19" xfId="0" applyFont="1" applyFill="1" applyBorder="1" applyAlignment="1">
      <alignment horizontal="center" vertical="center" wrapText="1"/>
    </xf>
    <xf numFmtId="1" fontId="14" fillId="16" borderId="19" xfId="0" applyNumberFormat="1" applyFont="1" applyFill="1" applyBorder="1" applyAlignment="1">
      <alignment horizontal="center" vertical="center" wrapText="1"/>
    </xf>
    <xf numFmtId="4" fontId="14" fillId="16" borderId="19" xfId="0" applyNumberFormat="1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0" fontId="14" fillId="21" borderId="19" xfId="0" applyFont="1" applyFill="1" applyBorder="1" applyAlignment="1">
      <alignment horizontal="center" vertical="center" wrapText="1"/>
    </xf>
    <xf numFmtId="4" fontId="14" fillId="21" borderId="19" xfId="0" applyNumberFormat="1" applyFont="1" applyFill="1" applyBorder="1" applyAlignment="1">
      <alignment horizontal="center" vertical="center" wrapText="1"/>
    </xf>
    <xf numFmtId="0" fontId="14" fillId="20" borderId="0" xfId="0" applyFont="1" applyFill="1" applyAlignment="1" applyProtection="1">
      <alignment horizontal="center" vertical="center" wrapText="1"/>
      <protection hidden="1"/>
    </xf>
    <xf numFmtId="184" fontId="19" fillId="7" borderId="8" xfId="94" applyNumberFormat="1" applyFont="1" applyFill="1" applyBorder="1" applyAlignment="1">
      <alignment horizontal="center" vertical="center" wrapText="1"/>
    </xf>
    <xf numFmtId="184" fontId="19" fillId="7" borderId="9" xfId="94" applyNumberFormat="1" applyFont="1" applyFill="1" applyBorder="1" applyAlignment="1">
      <alignment horizontal="center" vertical="center" wrapText="1"/>
    </xf>
    <xf numFmtId="184" fontId="19" fillId="9" borderId="8" xfId="94" applyNumberFormat="1" applyFont="1" applyFill="1" applyBorder="1" applyAlignment="1">
      <alignment horizontal="center" vertical="center" wrapText="1"/>
    </xf>
    <xf numFmtId="184" fontId="19" fillId="9" borderId="9" xfId="94" applyNumberFormat="1" applyFont="1" applyFill="1" applyBorder="1" applyAlignment="1">
      <alignment horizontal="center" vertical="center" wrapText="1"/>
    </xf>
    <xf numFmtId="0" fontId="31" fillId="0" borderId="8" xfId="0" applyFont="1" applyBorder="1" applyAlignment="1">
      <alignment horizontal="center" vertical="center" wrapText="1"/>
    </xf>
    <xf numFmtId="0" fontId="31" fillId="0" borderId="9" xfId="0" applyFont="1" applyBorder="1" applyAlignment="1">
      <alignment horizontal="center" vertical="center" wrapText="1"/>
    </xf>
    <xf numFmtId="0" fontId="18" fillId="12" borderId="4" xfId="0" applyFont="1" applyFill="1" applyBorder="1" applyAlignment="1">
      <alignment horizontal="center" vertical="center" wrapText="1"/>
    </xf>
    <xf numFmtId="0" fontId="20" fillId="6" borderId="14" xfId="0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18" fillId="7" borderId="10" xfId="0" applyFont="1" applyFill="1" applyBorder="1" applyAlignment="1">
      <alignment horizontal="center" vertical="center" wrapText="1"/>
    </xf>
    <xf numFmtId="0" fontId="18" fillId="7" borderId="11" xfId="0" applyFont="1" applyFill="1" applyBorder="1" applyAlignment="1">
      <alignment horizontal="center" vertical="center" wrapText="1"/>
    </xf>
    <xf numFmtId="0" fontId="20" fillId="6" borderId="15" xfId="0" applyFont="1" applyFill="1" applyBorder="1" applyAlignment="1">
      <alignment horizontal="center" vertical="center" wrapText="1"/>
    </xf>
  </cellXfs>
  <cellStyles count="101">
    <cellStyle name="Border" xfId="5" xr:uid="{00000000-0005-0000-0000-000000000000}"/>
    <cellStyle name="Calc Currency (0)" xfId="6" xr:uid="{00000000-0005-0000-0000-000001000000}"/>
    <cellStyle name="Calc Currency (2)" xfId="7" xr:uid="{00000000-0005-0000-0000-000002000000}"/>
    <cellStyle name="Calc Percent (0)" xfId="8" xr:uid="{00000000-0005-0000-0000-000003000000}"/>
    <cellStyle name="Calc Percent (1)" xfId="9" xr:uid="{00000000-0005-0000-0000-000004000000}"/>
    <cellStyle name="Calc Percent (2)" xfId="10" xr:uid="{00000000-0005-0000-0000-000005000000}"/>
    <cellStyle name="Calc Units (0)" xfId="11" xr:uid="{00000000-0005-0000-0000-000006000000}"/>
    <cellStyle name="Calc Units (1)" xfId="12" xr:uid="{00000000-0005-0000-0000-000007000000}"/>
    <cellStyle name="Calc Units (2)" xfId="13" xr:uid="{00000000-0005-0000-0000-000008000000}"/>
    <cellStyle name="Comma [00]" xfId="14" xr:uid="{00000000-0005-0000-0000-000009000000}"/>
    <cellStyle name="Currency [00]" xfId="15" xr:uid="{00000000-0005-0000-0000-00000A000000}"/>
    <cellStyle name="Currency 2" xfId="16" xr:uid="{00000000-0005-0000-0000-00000B000000}"/>
    <cellStyle name="Date Short" xfId="17" xr:uid="{00000000-0005-0000-0000-00000C000000}"/>
    <cellStyle name="Dezimal [0]_laroux" xfId="18" xr:uid="{00000000-0005-0000-0000-00000D000000}"/>
    <cellStyle name="Dezimal_laroux" xfId="19" xr:uid="{00000000-0005-0000-0000-00000E000000}"/>
    <cellStyle name="Enter Currency (0)" xfId="20" xr:uid="{00000000-0005-0000-0000-00000F000000}"/>
    <cellStyle name="Enter Currency (2)" xfId="21" xr:uid="{00000000-0005-0000-0000-000010000000}"/>
    <cellStyle name="Enter Units (0)" xfId="22" xr:uid="{00000000-0005-0000-0000-000011000000}"/>
    <cellStyle name="Enter Units (1)" xfId="23" xr:uid="{00000000-0005-0000-0000-000012000000}"/>
    <cellStyle name="Enter Units (2)" xfId="24" xr:uid="{00000000-0005-0000-0000-000013000000}"/>
    <cellStyle name="Estilo 1" xfId="25" xr:uid="{00000000-0005-0000-0000-000014000000}"/>
    <cellStyle name="Estilo 1 2" xfId="26" xr:uid="{00000000-0005-0000-0000-000015000000}"/>
    <cellStyle name="Euro" xfId="27" xr:uid="{00000000-0005-0000-0000-000016000000}"/>
    <cellStyle name="Grey" xfId="28" xr:uid="{00000000-0005-0000-0000-000017000000}"/>
    <cellStyle name="Header1" xfId="29" xr:uid="{00000000-0005-0000-0000-000018000000}"/>
    <cellStyle name="Header2" xfId="30" xr:uid="{00000000-0005-0000-0000-000019000000}"/>
    <cellStyle name="Hyperlink 2" xfId="31" xr:uid="{00000000-0005-0000-0000-00001A000000}"/>
    <cellStyle name="Input [yellow]" xfId="32" xr:uid="{00000000-0005-0000-0000-00001B000000}"/>
    <cellStyle name="juan2" xfId="33" xr:uid="{00000000-0005-0000-0000-00001C000000}"/>
    <cellStyle name="juan2 2" xfId="34" xr:uid="{00000000-0005-0000-0000-00001D000000}"/>
    <cellStyle name="Link Currency (0)" xfId="35" xr:uid="{00000000-0005-0000-0000-00001E000000}"/>
    <cellStyle name="Link Currency (2)" xfId="36" xr:uid="{00000000-0005-0000-0000-00001F000000}"/>
    <cellStyle name="Link Units (0)" xfId="37" xr:uid="{00000000-0005-0000-0000-000020000000}"/>
    <cellStyle name="Link Units (1)" xfId="38" xr:uid="{00000000-0005-0000-0000-000021000000}"/>
    <cellStyle name="Link Units (2)" xfId="39" xr:uid="{00000000-0005-0000-0000-000022000000}"/>
    <cellStyle name="MAND_x000d_CHECK.COMMAND_x000e_RENAME.COMMAND_x0008_SHOW.BAR_x000b_DELETE.MENU_x000e_DELETE.COMMAND_x000e_GET.CHA" xfId="40" xr:uid="{00000000-0005-0000-0000-000023000000}"/>
    <cellStyle name="MAND_x000d_CHECK.COMMAND_x000e_RENAME.COMMAND_x0008_SHOW.BAR_x000b_DELETE.MENU_x000e_DELETE.COMMAND_x000e_GET.CHA 2" xfId="41" xr:uid="{00000000-0005-0000-0000-000024000000}"/>
    <cellStyle name="MAND_x000d_CHECK.COMMAND_x000e_RENAME.COMMAND_x0008_SHOW.BAR_x000b_DELETE.MENU_x000e_DELETE.COMMAND_x000e_GET.CHA 3" xfId="42" xr:uid="{00000000-0005-0000-0000-000025000000}"/>
    <cellStyle name="Millares" xfId="97" builtinId="3"/>
    <cellStyle name="Millares 10" xfId="43" xr:uid="{00000000-0005-0000-0000-000027000000}"/>
    <cellStyle name="Millares 2" xfId="44" xr:uid="{00000000-0005-0000-0000-000028000000}"/>
    <cellStyle name="Millares 3" xfId="45" xr:uid="{00000000-0005-0000-0000-000029000000}"/>
    <cellStyle name="Millares 4" xfId="46" xr:uid="{00000000-0005-0000-0000-00002A000000}"/>
    <cellStyle name="Millares 5" xfId="47" xr:uid="{00000000-0005-0000-0000-00002B000000}"/>
    <cellStyle name="Millares 6" xfId="48" xr:uid="{00000000-0005-0000-0000-00002C000000}"/>
    <cellStyle name="Millares 7" xfId="49" xr:uid="{00000000-0005-0000-0000-00002D000000}"/>
    <cellStyle name="Millares 8" xfId="50" xr:uid="{00000000-0005-0000-0000-00002E000000}"/>
    <cellStyle name="Millares 9" xfId="2" xr:uid="{00000000-0005-0000-0000-00002F000000}"/>
    <cellStyle name="Milliers [0]_laroux" xfId="51" xr:uid="{00000000-0005-0000-0000-000030000000}"/>
    <cellStyle name="Milliers_laroux" xfId="52" xr:uid="{00000000-0005-0000-0000-000031000000}"/>
    <cellStyle name="Moneda 2" xfId="53" xr:uid="{00000000-0005-0000-0000-000033000000}"/>
    <cellStyle name="Moneda 2 2" xfId="100" xr:uid="{D17B7899-A384-40C4-A536-19F34F5A3E77}"/>
    <cellStyle name="No" xfId="54" xr:uid="{00000000-0005-0000-0000-000034000000}"/>
    <cellStyle name="No 2" xfId="55" xr:uid="{00000000-0005-0000-0000-000035000000}"/>
    <cellStyle name="Normal" xfId="0" builtinId="0"/>
    <cellStyle name="Normal - Style1" xfId="56" xr:uid="{00000000-0005-0000-0000-000037000000}"/>
    <cellStyle name="Normal 10" xfId="57" xr:uid="{00000000-0005-0000-0000-000038000000}"/>
    <cellStyle name="Normal 11" xfId="58" xr:uid="{00000000-0005-0000-0000-000039000000}"/>
    <cellStyle name="Normal 11 2" xfId="4" xr:uid="{00000000-0005-0000-0000-00003A000000}"/>
    <cellStyle name="Normal 12" xfId="59" xr:uid="{00000000-0005-0000-0000-00003B000000}"/>
    <cellStyle name="Normal 13" xfId="1" xr:uid="{00000000-0005-0000-0000-00003C000000}"/>
    <cellStyle name="Normal 14" xfId="90" xr:uid="{00000000-0005-0000-0000-00003D000000}"/>
    <cellStyle name="Normal 15" xfId="91" xr:uid="{00000000-0005-0000-0000-00003E000000}"/>
    <cellStyle name="Normal 16" xfId="92" xr:uid="{00000000-0005-0000-0000-00003F000000}"/>
    <cellStyle name="Normal 17" xfId="93" xr:uid="{00000000-0005-0000-0000-000040000000}"/>
    <cellStyle name="Normal 2" xfId="60" xr:uid="{00000000-0005-0000-0000-000041000000}"/>
    <cellStyle name="Normal 2 2" xfId="61" xr:uid="{00000000-0005-0000-0000-000042000000}"/>
    <cellStyle name="Normal 2 53" xfId="95" xr:uid="{00000000-0005-0000-0000-000043000000}"/>
    <cellStyle name="Normal 3" xfId="62" xr:uid="{00000000-0005-0000-0000-000044000000}"/>
    <cellStyle name="Normal 3 2" xfId="63" xr:uid="{00000000-0005-0000-0000-000045000000}"/>
    <cellStyle name="Normal 3 4" xfId="99" xr:uid="{59935550-EBB8-48E1-984A-48207676AE8B}"/>
    <cellStyle name="Normal 4" xfId="64" xr:uid="{00000000-0005-0000-0000-000046000000}"/>
    <cellStyle name="Normal 4 2" xfId="65" xr:uid="{00000000-0005-0000-0000-000047000000}"/>
    <cellStyle name="Normal 4 3" xfId="66" xr:uid="{00000000-0005-0000-0000-000048000000}"/>
    <cellStyle name="Normal 4 4" xfId="67" xr:uid="{00000000-0005-0000-0000-000049000000}"/>
    <cellStyle name="Normal 4 5" xfId="98" xr:uid="{F6FE6409-D9FF-49A0-A70B-9AAA05AAE8E8}"/>
    <cellStyle name="Normal 5" xfId="68" xr:uid="{00000000-0005-0000-0000-00004A000000}"/>
    <cellStyle name="Normal 6" xfId="69" xr:uid="{00000000-0005-0000-0000-00004B000000}"/>
    <cellStyle name="Normal 7" xfId="70" xr:uid="{00000000-0005-0000-0000-00004C000000}"/>
    <cellStyle name="Normal 8" xfId="71" xr:uid="{00000000-0005-0000-0000-00004D000000}"/>
    <cellStyle name="Normal 9" xfId="72" xr:uid="{00000000-0005-0000-0000-00004E000000}"/>
    <cellStyle name="Percent [0]" xfId="73" xr:uid="{00000000-0005-0000-0000-00004F000000}"/>
    <cellStyle name="Percent [00]" xfId="74" xr:uid="{00000000-0005-0000-0000-000050000000}"/>
    <cellStyle name="Percent [2]" xfId="75" xr:uid="{00000000-0005-0000-0000-000051000000}"/>
    <cellStyle name="Percent [2] 2" xfId="76" xr:uid="{00000000-0005-0000-0000-000052000000}"/>
    <cellStyle name="Percent 2" xfId="77" xr:uid="{00000000-0005-0000-0000-000053000000}"/>
    <cellStyle name="Porcentaje" xfId="94" builtinId="5"/>
    <cellStyle name="Porcentaje 2" xfId="3" xr:uid="{00000000-0005-0000-0000-000055000000}"/>
    <cellStyle name="Porcentual 2" xfId="78" xr:uid="{00000000-0005-0000-0000-000056000000}"/>
    <cellStyle name="Porcentual 3" xfId="79" xr:uid="{00000000-0005-0000-0000-000057000000}"/>
    <cellStyle name="PrePop Currency (0)" xfId="80" xr:uid="{00000000-0005-0000-0000-000058000000}"/>
    <cellStyle name="PrePop Currency (2)" xfId="81" xr:uid="{00000000-0005-0000-0000-000059000000}"/>
    <cellStyle name="PrePop Units (0)" xfId="82" xr:uid="{00000000-0005-0000-0000-00005A000000}"/>
    <cellStyle name="PrePop Units (1)" xfId="83" xr:uid="{00000000-0005-0000-0000-00005B000000}"/>
    <cellStyle name="PrePop Units (2)" xfId="84" xr:uid="{00000000-0005-0000-0000-00005C000000}"/>
    <cellStyle name="Punto" xfId="85" xr:uid="{00000000-0005-0000-0000-00005D000000}"/>
    <cellStyle name="Punto 2" xfId="86" xr:uid="{00000000-0005-0000-0000-00005E000000}"/>
    <cellStyle name="Text Indent A" xfId="87" xr:uid="{00000000-0005-0000-0000-00005F000000}"/>
    <cellStyle name="Text Indent B" xfId="88" xr:uid="{00000000-0005-0000-0000-000060000000}"/>
    <cellStyle name="Text Indent C" xfId="89" xr:uid="{00000000-0005-0000-0000-000061000000}"/>
    <cellStyle name="Título 4" xfId="96" xr:uid="{00000000-0005-0000-0000-000062000000}"/>
  </cellStyles>
  <dxfs count="35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4" formatCode="#,##0.00"/>
    </dxf>
    <dxf>
      <numFmt numFmtId="183" formatCode="_-* #,##0_-;\-* #,##0_-;_-* &quot;-&quot;??_-;_-@_-"/>
    </dxf>
    <dxf>
      <numFmt numFmtId="183" formatCode="_-* #,##0_-;\-* #,##0_-;_-* &quot;-&quot;??_-;_-@_-"/>
    </dxf>
    <dxf>
      <numFmt numFmtId="35" formatCode="_-* #,##0.00_-;\-* #,##0.00_-;_-* &quot;-&quot;??_-;_-@_-"/>
    </dxf>
  </dxfs>
  <tableStyles count="0" defaultTableStyle="TableStyleMedium2" defaultPivotStyle="PivotStyleLight16"/>
  <colors>
    <mruColors>
      <color rgb="FFB482DA"/>
      <color rgb="FF6A2D97"/>
      <color rgb="FF9F5ED0"/>
      <color rgb="FFBE91DF"/>
      <color rgb="FF8F44C8"/>
      <color rgb="FF0000FF"/>
      <color rgb="FF57257D"/>
      <color rgb="FF461E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microsoft.com/office/2007/relationships/slicerCache" Target="slicerCaches/slicerCache4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3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2.xml"/><Relationship Id="rId5" Type="http://schemas.openxmlformats.org/officeDocument/2006/relationships/worksheet" Target="worksheets/sheet5.xml"/><Relationship Id="rId15" Type="http://schemas.microsoft.com/office/2007/relationships/slicerCache" Target="slicerCaches/slicerCache6.xml"/><Relationship Id="rId10" Type="http://schemas.microsoft.com/office/2007/relationships/slicerCache" Target="slicerCaches/slicerCache1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microsoft.com/office/2007/relationships/slicerCache" Target="slicerCaches/slicerCache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25400</xdr:colOff>
      <xdr:row>0</xdr:row>
      <xdr:rowOff>76200</xdr:rowOff>
    </xdr:from>
    <xdr:to>
      <xdr:col>1</xdr:col>
      <xdr:colOff>1177290</xdr:colOff>
      <xdr:row>2</xdr:row>
      <xdr:rowOff>165100</xdr:rowOff>
    </xdr:to>
    <xdr:pic>
      <xdr:nvPicPr>
        <xdr:cNvPr id="4" name="Picture 3" descr="Logo&#10;&#10;Description automatically generated">
          <a:extLst>
            <a:ext uri="{FF2B5EF4-FFF2-40B4-BE49-F238E27FC236}">
              <a16:creationId xmlns:a16="http://schemas.microsoft.com/office/drawing/2014/main" id="{F00798A2-CC74-4364-B7A9-DFA19F7DEE8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76200"/>
          <a:ext cx="1151890" cy="457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0</xdr:rowOff>
    </xdr:from>
    <xdr:to>
      <xdr:col>1</xdr:col>
      <xdr:colOff>1127760</xdr:colOff>
      <xdr:row>2</xdr:row>
      <xdr:rowOff>101600</xdr:rowOff>
    </xdr:to>
    <xdr:pic>
      <xdr:nvPicPr>
        <xdr:cNvPr id="4" name="Picture 3" descr="Logo&#10;&#10;Description automatically generated">
          <a:extLst>
            <a:ext uri="{FF2B5EF4-FFF2-40B4-BE49-F238E27FC236}">
              <a16:creationId xmlns:a16="http://schemas.microsoft.com/office/drawing/2014/main" id="{EEF9F0DA-5F8D-4E6B-B38A-5A1EE927627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0"/>
          <a:ext cx="1151890" cy="4572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29883</xdr:colOff>
      <xdr:row>5</xdr:row>
      <xdr:rowOff>37356</xdr:rowOff>
    </xdr:from>
    <xdr:to>
      <xdr:col>2</xdr:col>
      <xdr:colOff>274919</xdr:colOff>
      <xdr:row>10</xdr:row>
      <xdr:rowOff>22413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Tipo de Flotilla: Empresa / Empleado">
              <a:extLst>
                <a:ext uri="{FF2B5EF4-FFF2-40B4-BE49-F238E27FC236}">
                  <a16:creationId xmlns:a16="http://schemas.microsoft.com/office/drawing/2014/main" id="{76202737-0DDB-4560-A99E-E289C76D294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 de Flotilla: Empresa / Emplead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6295" y="918885"/>
              <a:ext cx="1828800" cy="95623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289487</xdr:colOff>
      <xdr:row>5</xdr:row>
      <xdr:rowOff>72841</xdr:rowOff>
    </xdr:from>
    <xdr:to>
      <xdr:col>7</xdr:col>
      <xdr:colOff>990228</xdr:colOff>
      <xdr:row>12</xdr:row>
      <xdr:rowOff>29883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EmpresaFilial">
              <a:extLst>
                <a:ext uri="{FF2B5EF4-FFF2-40B4-BE49-F238E27FC236}">
                  <a16:creationId xmlns:a16="http://schemas.microsoft.com/office/drawing/2014/main" id="{05E53A3F-09F6-4235-A6DB-6C4970D1408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mpresaFilia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346016" y="954370"/>
              <a:ext cx="1828800" cy="131668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451970</xdr:colOff>
      <xdr:row>5</xdr:row>
      <xdr:rowOff>74705</xdr:rowOff>
    </xdr:from>
    <xdr:to>
      <xdr:col>5</xdr:col>
      <xdr:colOff>84417</xdr:colOff>
      <xdr:row>12</xdr:row>
      <xdr:rowOff>7470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FormaDePago">
              <a:extLst>
                <a:ext uri="{FF2B5EF4-FFF2-40B4-BE49-F238E27FC236}">
                  <a16:creationId xmlns:a16="http://schemas.microsoft.com/office/drawing/2014/main" id="{6F0E055B-DB11-48D5-8D58-CD66EA8C4ED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ormaDePag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12146" y="956234"/>
              <a:ext cx="1828800" cy="129241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13</xdr:col>
      <xdr:colOff>666750</xdr:colOff>
      <xdr:row>5</xdr:row>
      <xdr:rowOff>46694</xdr:rowOff>
    </xdr:from>
    <xdr:to>
      <xdr:col>16</xdr:col>
      <xdr:colOff>276786</xdr:colOff>
      <xdr:row>12</xdr:row>
      <xdr:rowOff>22413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Grupo">
              <a:extLst>
                <a:ext uri="{FF2B5EF4-FFF2-40B4-BE49-F238E27FC236}">
                  <a16:creationId xmlns:a16="http://schemas.microsoft.com/office/drawing/2014/main" id="{1FFCDA4D-9FB4-42A7-9754-0AD55125627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rup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288868" y="928223"/>
              <a:ext cx="1828800" cy="133536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89648</xdr:colOff>
      <xdr:row>5</xdr:row>
      <xdr:rowOff>59768</xdr:rowOff>
    </xdr:from>
    <xdr:to>
      <xdr:col>10</xdr:col>
      <xdr:colOff>790389</xdr:colOff>
      <xdr:row>12</xdr:row>
      <xdr:rowOff>14942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RamoAutoCamiónMotoEtc">
              <a:extLst>
                <a:ext uri="{FF2B5EF4-FFF2-40B4-BE49-F238E27FC236}">
                  <a16:creationId xmlns:a16="http://schemas.microsoft.com/office/drawing/2014/main" id="{7FD796A1-62B0-4909-B844-377AB68638C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amoAutoCamiónMotoEtc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64942" y="941297"/>
              <a:ext cx="1828800" cy="131482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930089</xdr:colOff>
      <xdr:row>5</xdr:row>
      <xdr:rowOff>48560</xdr:rowOff>
    </xdr:from>
    <xdr:to>
      <xdr:col>13</xdr:col>
      <xdr:colOff>540124</xdr:colOff>
      <xdr:row>12</xdr:row>
      <xdr:rowOff>29883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SubRamo">
              <a:extLst>
                <a:ext uri="{FF2B5EF4-FFF2-40B4-BE49-F238E27FC236}">
                  <a16:creationId xmlns:a16="http://schemas.microsoft.com/office/drawing/2014/main" id="{F46C51D7-8530-41D2-A156-9F8A5DD42E8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Ram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333442" y="930089"/>
              <a:ext cx="1828800" cy="13409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rriolaDi/Downloads/Layout_Items_Autos_V1%2029.04.24%201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ingel, Michelle" refreshedDate="44648.620766666667" createdVersion="6" refreshedVersion="6" minRefreshableVersion="3" recordCount="7" xr:uid="{E94FF6B9-BFE3-42E5-AB1F-DBEECC40E6D2}">
  <cacheSource type="worksheet">
    <worksheetSource ref="A2:AE2" sheet="Hoja1"/>
  </cacheSource>
  <cacheFields count="68">
    <cacheField name="Consecutivo" numFmtId="0">
      <sharedItems containsSemiMixedTypes="0" containsString="0" containsNumber="1" containsInteger="1" minValue="1" maxValue="7"/>
    </cacheField>
    <cacheField name="ID" numFmtId="0">
      <sharedItems containsSemiMixedTypes="0" containsString="0" containsNumber="1" containsInteger="1" minValue="352124" maxValue="352125" count="2">
        <n v="352124"/>
        <n v="352125"/>
      </sharedItems>
    </cacheField>
    <cacheField name="Resumen" numFmtId="0">
      <sharedItems containsSemiMixedTypes="0" containsString="0" containsNumber="1" containsInteger="1" minValue="341152" maxValue="341152"/>
    </cacheField>
    <cacheField name="Tipo de Flotilla: Empresa / Empleado" numFmtId="4">
      <sharedItems/>
    </cacheField>
    <cacheField name="EmpresaFilial" numFmtId="0">
      <sharedItems count="1">
        <s v="JoseManuel Gordillo Montoya"/>
      </sharedItems>
    </cacheField>
    <cacheField name="NombreEnCasoDeSerEmpleados" numFmtId="0">
      <sharedItems/>
    </cacheField>
    <cacheField name="ApellidoPaternoEnCasoDeSerEmpleados" numFmtId="0">
      <sharedItems/>
    </cacheField>
    <cacheField name="ApellidoMaternoEncasoDeSerEmpleados" numFmtId="0">
      <sharedItems/>
    </cacheField>
    <cacheField name="FormaDePago" numFmtId="4">
      <sharedItems count="3">
        <s v="M"/>
        <s v="A"/>
        <s v="S"/>
      </sharedItems>
    </cacheField>
    <cacheField name="Grupo" numFmtId="4">
      <sharedItems count="3">
        <s v="general"/>
        <s v="general2"/>
        <s v="nuevoGreo"/>
      </sharedItems>
    </cacheField>
    <cacheField name="RamoAutoCamiónMotoEtc" numFmtId="0">
      <sharedItems count="3">
        <s v="Automovil"/>
        <s v="Motocicleta"/>
        <s v="Camion"/>
      </sharedItems>
    </cacheField>
    <cacheField name="Marca" numFmtId="0">
      <sharedItems/>
    </cacheField>
    <cacheField name="DescripciónDetalladaTransmisiónPaqueteVersiónEtc" numFmtId="0">
      <sharedItems/>
    </cacheField>
    <cacheField name="Modelo" numFmtId="0">
      <sharedItems containsSemiMixedTypes="0" containsString="0" containsNumber="1" containsInteger="1" minValue="2014" maxValue="2019"/>
    </cacheField>
    <cacheField name="Serie" numFmtId="0">
      <sharedItems/>
    </cacheField>
    <cacheField name="NoMotor" numFmtId="0">
      <sharedItems/>
    </cacheField>
    <cacheField name="Placas" numFmtId="0">
      <sharedItems/>
    </cacheField>
    <cacheField name="Beneficiarios Preferentes" numFmtId="0">
      <sharedItems/>
    </cacheField>
    <cacheField name="Valor de la unidad (Comercial, Comercial + 10%, Factura, Convenido)" numFmtId="0">
      <sharedItems containsNonDate="0" containsString="0" containsBlank="1"/>
    </cacheField>
    <cacheField name="Fecha de Facturación" numFmtId="0">
      <sharedItems containsNonDate="0" containsString="0" containsBlank="1"/>
    </cacheField>
    <cacheField name="Uso" numFmtId="0">
      <sharedItems/>
    </cacheField>
    <cacheField name="SERVICIO" numFmtId="0">
      <sharedItems containsNonDate="0" containsString="0" containsBlank="1"/>
    </cacheField>
    <cacheField name="Tipo de Carga Camiones  (pick ups, van de carga, equipo pesado, tractocamiones) A, B ó C" numFmtId="0">
      <sharedItems containsNonDate="0" containsString="0" containsBlank="1"/>
    </cacheField>
    <cacheField name="Numero de Pasajeros (unidad de transporte de Personal, escolar, huespedes, etc)" numFmtId="0">
      <sharedItems containsNonDate="0" containsString="0" containsBlank="1"/>
    </cacheField>
    <cacheField name="Paquete" numFmtId="0">
      <sharedItems/>
    </cacheField>
    <cacheField name="AdaptaciónDescripción" numFmtId="4">
      <sharedItems containsNonDate="0" containsString="0" containsBlank="1"/>
    </cacheField>
    <cacheField name="ValorAdaptacion" numFmtId="4">
      <sharedItems containsSemiMixedTypes="0" containsString="0" containsNumber="1" containsInteger="1" minValue="0" maxValue="0"/>
    </cacheField>
    <cacheField name="EquipoEspecialDescripción" numFmtId="4">
      <sharedItems containsNonDate="0" containsString="0" containsBlank="1"/>
    </cacheField>
    <cacheField name="ValorEquipoEspecial" numFmtId="4">
      <sharedItems containsSemiMixedTypes="0" containsString="0" containsNumber="1" containsInteger="1" minValue="0" maxValue="0"/>
    </cacheField>
    <cacheField name="Blindaje (Fecha de instalación)" numFmtId="4">
      <sharedItems containsNonDate="0" containsString="0" containsBlank="1"/>
    </cacheField>
    <cacheField name="Valor  Blindaje" numFmtId="4">
      <sharedItems containsNonDate="0" containsString="0" containsBlank="1"/>
    </cacheField>
    <cacheField name="Contacto en Caso de ser Empresa" numFmtId="4">
      <sharedItems containsNonDate="0" containsString="0" containsBlank="1"/>
    </cacheField>
    <cacheField name="Correo Electronico en caso de ser Empresa" numFmtId="4">
      <sharedItems containsNonDate="0" containsString="0" containsBlank="1"/>
    </cacheField>
    <cacheField name="Usuario (En caso de ser Empleados)" numFmtId="4">
      <sharedItems containsNonDate="0" containsString="0" containsBlank="1"/>
    </cacheField>
    <cacheField name="CorreoElectronicoEnCasoDeEmpleados" numFmtId="4">
      <sharedItems/>
    </cacheField>
    <cacheField name="InicioDeVigenciaDePólizaPorVencerObligatoriaEnRenovaciones" numFmtId="14">
      <sharedItems containsSemiMixedTypes="0" containsNonDate="0" containsDate="1" containsString="0" minDate="2020-11-26T00:00:00" maxDate="2020-11-27T00:00:00" count="1">
        <d v="2020-11-26T00:00:00"/>
      </sharedItems>
    </cacheField>
    <cacheField name="FinDeVigenciaDePólizaPorVencerObligatoriaEnRenovaciones" numFmtId="14">
      <sharedItems containsSemiMixedTypes="0" containsNonDate="0" containsDate="1" containsString="0" minDate="2021-11-26T00:00:00" maxDate="2021-11-27T00:00:00"/>
    </cacheField>
    <cacheField name="PrimaNetaEmitidaObligatoriaEnRenovaciones" numFmtId="2">
      <sharedItems containsSemiMixedTypes="0" containsString="0" containsNumber="1" containsInteger="1" minValue="200" maxValue="2400"/>
    </cacheField>
    <cacheField name="PorcentajeRecargoPorPagoFraccionadoObligatoriaEnRenovaciones" numFmtId="10">
      <sharedItems containsSemiMixedTypes="0" containsString="0" containsNumber="1" minValue="2.1999999999999999E-2" maxValue="0.05" count="2">
        <n v="2.1999999999999999E-2"/>
        <n v="0.05"/>
      </sharedItems>
    </cacheField>
    <cacheField name="DerechosDePólizaObligatoriaEnRenovaciones" numFmtId="2">
      <sharedItems containsSemiMixedTypes="0" containsString="0" containsNumber="1" containsInteger="1" minValue="10" maxValue="120"/>
    </cacheField>
    <cacheField name="PorcentajeIva" numFmtId="10">
      <sharedItems containsSemiMixedTypes="0" containsString="0" containsNumber="1" minValue="0.16" maxValue="0.16" count="1">
        <n v="0.16"/>
      </sharedItems>
    </cacheField>
    <cacheField name="PrimaTotalObligatoriaEnRenovaciones" numFmtId="2">
      <sharedItems containsSemiMixedTypes="0" containsString="0" containsNumber="1" minValue="248.70399999999998" maxValue="3062.3999999999996"/>
    </cacheField>
    <cacheField name="PorcentajeComPrima" numFmtId="10">
      <sharedItems containsSemiMixedTypes="0" containsString="0" containsNumber="1" minValue="0.15" maxValue="0.15" count="1">
        <n v="0.15"/>
      </sharedItems>
    </cacheField>
    <cacheField name="PorcentajeComDerechos" numFmtId="10">
      <sharedItems containsSemiMixedTypes="0" containsString="0" containsNumber="1" containsInteger="1" minValue="0" maxValue="0"/>
    </cacheField>
    <cacheField name="PorcentajeComRecargos" numFmtId="10">
      <sharedItems containsSemiMixedTypes="0" containsString="0" containsNumber="1" containsInteger="1" minValue="0" maxValue="0"/>
    </cacheField>
    <cacheField name="PorcentajeSobrecomision" numFmtId="10">
      <sharedItems containsSemiMixedTypes="0" containsString="0" containsNumber="1" containsInteger="1" minValue="0" maxValue="0"/>
    </cacheField>
    <cacheField name="Comentarios" numFmtId="4">
      <sharedItems/>
    </cacheField>
    <cacheField name="Poliza" numFmtId="49">
      <sharedItems containsMixedTypes="1" containsNumber="1" containsInteger="1" minValue="1290268241" maxValue="1290268241"/>
    </cacheField>
    <cacheField name="SiglasOficina" numFmtId="49">
      <sharedItems/>
    </cacheField>
    <cacheField name="FechaEmision" numFmtId="14">
      <sharedItems containsSemiMixedTypes="0" containsNonDate="0" containsDate="1" containsString="0" minDate="2020-11-26T00:00:00" maxDate="2020-11-27T00:00:00"/>
    </cacheField>
    <cacheField name="Endoso" numFmtId="49">
      <sharedItems/>
    </cacheField>
    <cacheField name="Inciso" numFmtId="49">
      <sharedItems/>
    </cacheField>
    <cacheField name="NoRecibos" numFmtId="1">
      <sharedItems containsSemiMixedTypes="0" containsString="0" containsNumber="1" containsInteger="1" minValue="0" maxValue="0"/>
    </cacheField>
    <cacheField name="RecargosTotalEmitida" numFmtId="2">
      <sharedItems containsSemiMixedTypes="0" containsString="0" containsNumber="1" minValue="4.3999999999999995" maxValue="120"/>
    </cacheField>
    <cacheField name="IvaTotalEmitido" numFmtId="2">
      <sharedItems containsSemiMixedTypes="0" containsString="0" containsNumber="1" minValue="34.304000000000002" maxValue="422.40000000000003"/>
    </cacheField>
    <cacheField name="ComisionTotalEmitida" numFmtId="4">
      <sharedItems containsSemiMixedTypes="0" containsString="0" containsNumber="1" containsInteger="1" minValue="30" maxValue="360"/>
    </cacheField>
    <cacheField name="PrimaNeta1erRecibo" numFmtId="2">
      <sharedItems containsNonDate="0" containsString="0" containsBlank="1"/>
    </cacheField>
    <cacheField name="Recargos1erRecibo" numFmtId="2">
      <sharedItems containsNonDate="0" containsString="0" containsBlank="1"/>
    </cacheField>
    <cacheField name="Derechos1erRecibo" numFmtId="2">
      <sharedItems containsNonDate="0" containsString="0" containsBlank="1"/>
    </cacheField>
    <cacheField name="Iva1erRecibo" numFmtId="2">
      <sharedItems containsNonDate="0" containsString="0" containsBlank="1"/>
    </cacheField>
    <cacheField name="PrimaTotal1erRecibo" numFmtId="2">
      <sharedItems containsNonDate="0" containsString="0" containsBlank="1"/>
    </cacheField>
    <cacheField name="Comision1erRecibo" numFmtId="2">
      <sharedItems containsNonDate="0" containsString="0" containsBlank="1"/>
    </cacheField>
    <cacheField name="PrimaNetaRecibosSubsecuentes" numFmtId="2">
      <sharedItems containsNonDate="0" containsString="0" containsBlank="1"/>
    </cacheField>
    <cacheField name="RecargosRecibosSubsecuentes" numFmtId="2">
      <sharedItems containsNonDate="0" containsString="0" containsBlank="1"/>
    </cacheField>
    <cacheField name="DerechosRecibosSubsecuentes" numFmtId="2">
      <sharedItems containsNonDate="0" containsString="0" containsBlank="1"/>
    </cacheField>
    <cacheField name="IvaRecibosSubsecuentes" numFmtId="2">
      <sharedItems containsNonDate="0" containsString="0" containsBlank="1"/>
    </cacheField>
    <cacheField name="PrimaTotalRecibosSubsecuentes" numFmtId="2">
      <sharedItems containsNonDate="0" containsString="0" containsBlank="1"/>
    </cacheField>
    <cacheField name="ComisionRecibosSubsecuentes" numFmtId="2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ingel, Michelle" refreshedDate="44648.795318287041" createdVersion="6" refreshedVersion="6" minRefreshableVersion="3" recordCount="14" xr:uid="{3383A1C1-0D47-45D9-88E1-04E0D15050E1}">
  <cacheSource type="worksheet">
    <worksheetSource ref="B8:CH22" sheet="Parque vehicular" r:id="rId2"/>
  </cacheSource>
  <cacheFields count="85">
    <cacheField name="Consecutivo" numFmtId="0">
      <sharedItems containsSemiMixedTypes="0" containsString="0" containsNumber="1" containsInteger="1" minValue="1" maxValue="7"/>
    </cacheField>
    <cacheField name="ID" numFmtId="0">
      <sharedItems containsSemiMixedTypes="0" containsString="0" containsNumber="1" containsInteger="1" minValue="352124" maxValue="352125"/>
    </cacheField>
    <cacheField name="Resumen" numFmtId="0">
      <sharedItems containsSemiMixedTypes="0" containsString="0" containsNumber="1" containsInteger="1" minValue="341152" maxValue="341152"/>
    </cacheField>
    <cacheField name="Tipo de Flotilla: Empresa / Empleado" numFmtId="4">
      <sharedItems count="2">
        <s v="Empresa"/>
        <s v="Empleado"/>
      </sharedItems>
    </cacheField>
    <cacheField name="EmpresaFilial" numFmtId="4">
      <sharedItems count="1">
        <s v="JoseManuel Gordillo Montoya"/>
      </sharedItems>
    </cacheField>
    <cacheField name="NombreEnCasoDeSerEmpleados" numFmtId="4">
      <sharedItems/>
    </cacheField>
    <cacheField name="ApellidoPaternoEnCasoDeSerEmpleados" numFmtId="4">
      <sharedItems/>
    </cacheField>
    <cacheField name="ApellidoMaternoEncasoDeSerEmpleados" numFmtId="4">
      <sharedItems/>
    </cacheField>
    <cacheField name="FormaDePago" numFmtId="4">
      <sharedItems count="3">
        <s v="M"/>
        <s v="A"/>
        <s v="S"/>
      </sharedItems>
    </cacheField>
    <cacheField name="Grupo" numFmtId="4">
      <sharedItems count="6">
        <s v="Poliza 1"/>
        <s v="Poliza 2"/>
        <s v="Poliza 3"/>
        <s v="nuevoGreo" u="1"/>
        <s v="general" u="1"/>
        <s v="general2" u="1"/>
      </sharedItems>
    </cacheField>
    <cacheField name="RamoAutoCamiónMotoEtc" numFmtId="4">
      <sharedItems count="3">
        <s v="Automovil"/>
        <s v="Motocicleta"/>
        <s v="Camion"/>
      </sharedItems>
    </cacheField>
    <cacheField name="Marca" numFmtId="4">
      <sharedItems/>
    </cacheField>
    <cacheField name="DescripciónDetalladaTransmisiónPaqueteVersiónEtc" numFmtId="4">
      <sharedItems/>
    </cacheField>
    <cacheField name="Modelo" numFmtId="0">
      <sharedItems containsSemiMixedTypes="0" containsString="0" containsNumber="1" containsInteger="1" minValue="2014" maxValue="2019"/>
    </cacheField>
    <cacheField name="Serie" numFmtId="4">
      <sharedItems/>
    </cacheField>
    <cacheField name="NoMotor" numFmtId="4">
      <sharedItems/>
    </cacheField>
    <cacheField name="Placas" numFmtId="4">
      <sharedItems/>
    </cacheField>
    <cacheField name="Beneficiarios Preferentes" numFmtId="4">
      <sharedItems/>
    </cacheField>
    <cacheField name="Valor de la unidad (Comercial, Comercial + 10%, Factura, Convenido)" numFmtId="4">
      <sharedItems containsNonDate="0" containsString="0" containsBlank="1"/>
    </cacheField>
    <cacheField name="Fecha de Facturación" numFmtId="4">
      <sharedItems containsNonDate="0" containsString="0" containsBlank="1"/>
    </cacheField>
    <cacheField name="Uso" numFmtId="4">
      <sharedItems/>
    </cacheField>
    <cacheField name="SERVICIO" numFmtId="4">
      <sharedItems containsNonDate="0" containsString="0" containsBlank="1"/>
    </cacheField>
    <cacheField name="Tipo de Carga Camiones  (pick ups, van de carga, equipo pesado, tractocamiones) A, B ó C" numFmtId="4">
      <sharedItems containsNonDate="0" containsString="0" containsBlank="1"/>
    </cacheField>
    <cacheField name="Numero de Pasajeros (unidad de transporte de Personal, escolar, huespedes, etc)" numFmtId="4">
      <sharedItems containsNonDate="0" containsString="0" containsBlank="1"/>
    </cacheField>
    <cacheField name="Paquete" numFmtId="4">
      <sharedItems/>
    </cacheField>
    <cacheField name="AdaptaciónDescripción" numFmtId="4">
      <sharedItems containsNonDate="0" containsString="0" containsBlank="1"/>
    </cacheField>
    <cacheField name="ValorAdaptacion" numFmtId="4">
      <sharedItems containsSemiMixedTypes="0" containsString="0" containsNumber="1" containsInteger="1" minValue="0" maxValue="0"/>
    </cacheField>
    <cacheField name="EquipoEspecialDescripción" numFmtId="4">
      <sharedItems containsNonDate="0" containsString="0" containsBlank="1"/>
    </cacheField>
    <cacheField name="ValorEquipoEspecial" numFmtId="4">
      <sharedItems containsSemiMixedTypes="0" containsString="0" containsNumber="1" containsInteger="1" minValue="0" maxValue="0"/>
    </cacheField>
    <cacheField name="Blindaje (Fecha de instalación)" numFmtId="4">
      <sharedItems containsNonDate="0" containsString="0" containsBlank="1"/>
    </cacheField>
    <cacheField name="Valor  Blindaje" numFmtId="4">
      <sharedItems containsNonDate="0" containsString="0" containsBlank="1"/>
    </cacheField>
    <cacheField name="Contacto en Caso de ser Empresa" numFmtId="4">
      <sharedItems containsNonDate="0" containsString="0" containsBlank="1"/>
    </cacheField>
    <cacheField name="Correo Electronico en caso de ser Empresa" numFmtId="4">
      <sharedItems containsNonDate="0" containsString="0" containsBlank="1"/>
    </cacheField>
    <cacheField name="Usuario (En caso de ser Empleados)" numFmtId="4">
      <sharedItems containsNonDate="0" containsString="0" containsBlank="1"/>
    </cacheField>
    <cacheField name="CorreoElectronicoEnCasoDeEmpleados" numFmtId="4">
      <sharedItems/>
    </cacheField>
    <cacheField name="InicioDeVigenciaDePólizaPorVencerObligatoriaEnRenovaciones" numFmtId="14">
      <sharedItems containsSemiMixedTypes="0" containsNonDate="0" containsDate="1" containsString="0" minDate="2020-11-26T00:00:00" maxDate="2020-11-27T00:00:00"/>
    </cacheField>
    <cacheField name="FinDeVigenciaDePólizaPorVencerObligatoriaEnRenovaciones" numFmtId="14">
      <sharedItems containsSemiMixedTypes="0" containsNonDate="0" containsDate="1" containsString="0" minDate="2021-11-26T00:00:00" maxDate="2021-11-27T00:00:00"/>
    </cacheField>
    <cacheField name="PrimaNetaEmitidaObligatoriaEnRenovaciones" numFmtId="2">
      <sharedItems containsSemiMixedTypes="0" containsString="0" containsNumber="1" containsInteger="1" minValue="200" maxValue="2400"/>
    </cacheField>
    <cacheField name="PorcentajeRecargoPorPagoFraccionadoObligatoriaEnRenovaciones" numFmtId="10">
      <sharedItems containsSemiMixedTypes="0" containsString="0" containsNumber="1" minValue="2.1999999999999999E-2" maxValue="0.05"/>
    </cacheField>
    <cacheField name="DerechosDePólizaObligatoriaEnRenovaciones" numFmtId="2">
      <sharedItems containsSemiMixedTypes="0" containsString="0" containsNumber="1" containsInteger="1" minValue="10" maxValue="120"/>
    </cacheField>
    <cacheField name="PorcentajeIva" numFmtId="9">
      <sharedItems containsSemiMixedTypes="0" containsString="0" containsNumber="1" minValue="0.16" maxValue="0.16"/>
    </cacheField>
    <cacheField name="PrimaTotalObligatoriaEnRenovaciones" numFmtId="2">
      <sharedItems containsSemiMixedTypes="0" containsString="0" containsNumber="1" minValue="248.70399999999998" maxValue="3062.3999999999996"/>
    </cacheField>
    <cacheField name="PorcentajeComPrima" numFmtId="184">
      <sharedItems containsSemiMixedTypes="0" containsString="0" containsNumber="1" minValue="0.13" maxValue="0.15"/>
    </cacheField>
    <cacheField name="PorcentajeComDerechos" numFmtId="184">
      <sharedItems containsSemiMixedTypes="0" containsString="0" containsNumber="1" containsInteger="1" minValue="0" maxValue="0"/>
    </cacheField>
    <cacheField name="PorcentajeComRecargos" numFmtId="184">
      <sharedItems containsSemiMixedTypes="0" containsString="0" containsNumber="1" containsInteger="1" minValue="0" maxValue="0"/>
    </cacheField>
    <cacheField name="PorcentajeSobrecomision" numFmtId="184">
      <sharedItems containsSemiMixedTypes="0" containsString="0" containsNumber="1" containsInteger="1" minValue="0" maxValue="0"/>
    </cacheField>
    <cacheField name="Comentarios" numFmtId="4">
      <sharedItems/>
    </cacheField>
    <cacheField name="Poliza" numFmtId="49">
      <sharedItems containsMixedTypes="1" containsNumber="1" containsInteger="1" minValue="1290268241" maxValue="1290268241"/>
    </cacheField>
    <cacheField name="SiglasOficina" numFmtId="49">
      <sharedItems/>
    </cacheField>
    <cacheField name="FechaEmision" numFmtId="14">
      <sharedItems containsSemiMixedTypes="0" containsNonDate="0" containsDate="1" containsString="0" minDate="2020-11-26T00:00:00" maxDate="2020-11-27T00:00:00"/>
    </cacheField>
    <cacheField name="Endoso" numFmtId="49">
      <sharedItems/>
    </cacheField>
    <cacheField name="Inciso" numFmtId="49">
      <sharedItems/>
    </cacheField>
    <cacheField name="NoRecibos" numFmtId="1">
      <sharedItems containsSemiMixedTypes="0" containsString="0" containsNumber="1" containsInteger="1" minValue="0" maxValue="0"/>
    </cacheField>
    <cacheField name="RecargosTotalEmitida" numFmtId="2">
      <sharedItems containsSemiMixedTypes="0" containsString="0" containsNumber="1" minValue="4.3999999999999995" maxValue="120"/>
    </cacheField>
    <cacheField name="IvaTotalEmitido" numFmtId="2">
      <sharedItems containsSemiMixedTypes="0" containsString="0" containsNumber="1" minValue="34.304000000000002" maxValue="422.40000000000003"/>
    </cacheField>
    <cacheField name="ComisionTotalEmitida" numFmtId="4">
      <sharedItems containsSemiMixedTypes="0" containsString="0" containsNumber="1" containsInteger="1" minValue="26" maxValue="312"/>
    </cacheField>
    <cacheField name="PrimaNeta1erRecibo" numFmtId="2">
      <sharedItems containsNonDate="0" containsString="0" containsBlank="1"/>
    </cacheField>
    <cacheField name="Recargos1erRecibo" numFmtId="2">
      <sharedItems containsNonDate="0" containsString="0" containsBlank="1"/>
    </cacheField>
    <cacheField name="Derechos1erRecibo" numFmtId="2">
      <sharedItems containsNonDate="0" containsString="0" containsBlank="1"/>
    </cacheField>
    <cacheField name="Iva1erRecibo" numFmtId="2">
      <sharedItems containsNonDate="0" containsString="0" containsBlank="1"/>
    </cacheField>
    <cacheField name="PrimaTotal1erRecibo" numFmtId="2">
      <sharedItems containsNonDate="0" containsString="0" containsBlank="1"/>
    </cacheField>
    <cacheField name="Comision1erRecibo" numFmtId="2">
      <sharedItems containsNonDate="0" containsString="0" containsBlank="1"/>
    </cacheField>
    <cacheField name="PrimaNetaRecibosSubsecuentes" numFmtId="2">
      <sharedItems containsNonDate="0" containsString="0" containsBlank="1"/>
    </cacheField>
    <cacheField name="RecargosRecibosSubsecuentes" numFmtId="2">
      <sharedItems containsNonDate="0" containsString="0" containsBlank="1"/>
    </cacheField>
    <cacheField name="DerechosRecibosSubsecuentes" numFmtId="2">
      <sharedItems containsNonDate="0" containsString="0" containsBlank="1"/>
    </cacheField>
    <cacheField name="IvaRecibosSubsecuentes" numFmtId="2">
      <sharedItems containsNonDate="0" containsString="0" containsBlank="1"/>
    </cacheField>
    <cacheField name="PrimaTotalRecibosSubsecuentes" numFmtId="2">
      <sharedItems containsNonDate="0" containsString="0" containsBlank="1"/>
    </cacheField>
    <cacheField name="ComisionRecibosSubsecuentes" numFmtId="2">
      <sharedItems containsNonDate="0" containsString="0" containsBlank="1"/>
    </cacheField>
    <cacheField name="SubRamo" numFmtId="0">
      <sharedItems containsBlank="1" count="3">
        <s v="Trasporte personal"/>
        <s v="Remolque"/>
        <m/>
      </sharedItems>
    </cacheField>
    <cacheField name="PN Anualizada" numFmtId="4">
      <sharedItems containsSemiMixedTypes="0" containsString="0" containsNumber="1" containsInteger="1" minValue="200" maxValue="2400"/>
    </cacheField>
    <cacheField name="Prima Neta 1" numFmtId="4">
      <sharedItems containsString="0" containsBlank="1" containsNumber="1" containsInteger="1" minValue="1" maxValue="1"/>
    </cacheField>
    <cacheField name="Op.2 Prima Neta 1" numFmtId="4">
      <sharedItems containsString="0" containsBlank="1" containsNumber="1" containsInteger="1" minValue="2" maxValue="2"/>
    </cacheField>
    <cacheField name="Prima Neta 2" numFmtId="4">
      <sharedItems containsString="0" containsBlank="1" containsNumber="1" containsInteger="1" minValue="3" maxValue="3"/>
    </cacheField>
    <cacheField name="Op.2 Prima Neta 2" numFmtId="4">
      <sharedItems containsString="0" containsBlank="1" containsNumber="1" containsInteger="1" minValue="4" maxValue="4"/>
    </cacheField>
    <cacheField name="Prima Neta 3" numFmtId="4">
      <sharedItems containsString="0" containsBlank="1" containsNumber="1" containsInteger="1" minValue="5" maxValue="5"/>
    </cacheField>
    <cacheField name="Op.2 Prima Neta 3" numFmtId="4">
      <sharedItems containsString="0" containsBlank="1" containsNumber="1" containsInteger="1" minValue="6" maxValue="6"/>
    </cacheField>
    <cacheField name="Prima Neta 4" numFmtId="4">
      <sharedItems containsString="0" containsBlank="1" containsNumber="1" containsInteger="1" minValue="7" maxValue="7"/>
    </cacheField>
    <cacheField name="Op.2 Prima Neta 4" numFmtId="4">
      <sharedItems containsString="0" containsBlank="1" containsNumber="1" containsInteger="1" minValue="8" maxValue="8"/>
    </cacheField>
    <cacheField name="Prima Neta 5" numFmtId="4">
      <sharedItems containsString="0" containsBlank="1" containsNumber="1" containsInteger="1" minValue="9" maxValue="9"/>
    </cacheField>
    <cacheField name="Op.2 Prima Neta 5" numFmtId="4">
      <sharedItems containsString="0" containsBlank="1" containsNumber="1" containsInteger="1" minValue="10" maxValue="10"/>
    </cacheField>
    <cacheField name="Unidades 1" numFmtId="0">
      <sharedItems containsSemiMixedTypes="0" containsString="0" containsNumber="1" containsInteger="1" minValue="0" maxValue="1"/>
    </cacheField>
    <cacheField name="Unidades 2" numFmtId="0">
      <sharedItems containsSemiMixedTypes="0" containsString="0" containsNumber="1" containsInteger="1" minValue="0" maxValue="1"/>
    </cacheField>
    <cacheField name="Unidades 3" numFmtId="0">
      <sharedItems containsSemiMixedTypes="0" containsString="0" containsNumber="1" containsInteger="1" minValue="0" maxValue="1"/>
    </cacheField>
    <cacheField name="Unidades 4" numFmtId="0">
      <sharedItems containsSemiMixedTypes="0" containsString="0" containsNumber="1" containsInteger="1" minValue="0" maxValue="1"/>
    </cacheField>
    <cacheField name="Unidades 5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 pivotCacheId="30609220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n v="1"/>
    <x v="0"/>
    <n v="341152"/>
    <s v="Empresa"/>
    <x v="0"/>
    <s v="JoseManuel"/>
    <s v="Gordillo"/>
    <s v="Montoya"/>
    <x v="0"/>
    <x v="0"/>
    <x v="0"/>
    <s v=" GENERAL MOTORS"/>
    <s v="AVEO TIPO (A) V8 AUT"/>
    <n v="2016"/>
    <s v="300SC7HY27R444660"/>
    <s v="DAHY213675371"/>
    <s v="JIRJ1"/>
    <s v="AUtio1;AUto2"/>
    <m/>
    <m/>
    <s v="Particular"/>
    <m/>
    <m/>
    <m/>
    <s v="amplia"/>
    <m/>
    <n v="0"/>
    <m/>
    <n v="0"/>
    <m/>
    <m/>
    <m/>
    <m/>
    <m/>
    <s v="josegordillo@willis"/>
    <x v="0"/>
    <d v="2021-11-26T00:00:00"/>
    <n v="200"/>
    <x v="0"/>
    <n v="10"/>
    <x v="0"/>
    <n v="248.70399999999998"/>
    <x v="0"/>
    <n v="0"/>
    <n v="0"/>
    <n v="0"/>
    <s v="Póliza 1290268241"/>
    <s v="1290268241"/>
    <s v="CDMX"/>
    <d v="2020-11-26T00:00:00"/>
    <s v="77533121918"/>
    <s v="70"/>
    <n v="0"/>
    <n v="4.3999999999999995"/>
    <n v="34.304000000000002"/>
    <n v="30"/>
    <m/>
    <m/>
    <m/>
    <m/>
    <m/>
    <m/>
    <m/>
    <m/>
    <m/>
    <m/>
    <m/>
    <m/>
  </r>
  <r>
    <n v="2"/>
    <x v="0"/>
    <n v="341152"/>
    <s v="Empleado"/>
    <x v="0"/>
    <s v="JoseManuel"/>
    <s v="Gordillo"/>
    <s v="Montoya"/>
    <x v="0"/>
    <x v="0"/>
    <x v="0"/>
    <s v="GENERAL MOTORS"/>
    <s v="MALIBU LTZ L4 AUT"/>
    <n v="2016"/>
    <s v="300CJ7EH7GL2510920"/>
    <s v="DAHY213675372"/>
    <s v="JIRJ2"/>
    <s v="AUtio1;AUto3"/>
    <m/>
    <m/>
    <s v="Particular"/>
    <m/>
    <m/>
    <m/>
    <s v="amplia"/>
    <m/>
    <n v="0"/>
    <m/>
    <n v="0"/>
    <m/>
    <m/>
    <m/>
    <m/>
    <m/>
    <s v="josegordillo@willis"/>
    <x v="0"/>
    <d v="2021-11-26T00:00:00"/>
    <n v="200"/>
    <x v="0"/>
    <n v="10"/>
    <x v="0"/>
    <n v="248.70399999999998"/>
    <x v="0"/>
    <n v="0"/>
    <n v="0"/>
    <n v="0"/>
    <s v="Póliza 1290268241"/>
    <n v="1290268241"/>
    <s v="CDMX"/>
    <d v="2020-11-26T00:00:00"/>
    <s v="77533121919"/>
    <s v="71"/>
    <n v="0"/>
    <n v="4.3999999999999995"/>
    <n v="34.304000000000002"/>
    <n v="30"/>
    <m/>
    <m/>
    <m/>
    <m/>
    <m/>
    <m/>
    <m/>
    <m/>
    <m/>
    <m/>
    <m/>
    <m/>
  </r>
  <r>
    <n v="3"/>
    <x v="0"/>
    <n v="341152"/>
    <s v="Empleado"/>
    <x v="0"/>
    <s v="JoseManuel"/>
    <s v="Gordillo"/>
    <s v="Montoya"/>
    <x v="0"/>
    <x v="0"/>
    <x v="0"/>
    <s v="TOYOTA"/>
    <s v="YARIS LE 8 PAS L6 AUT "/>
    <n v="2014"/>
    <s v="300K73DHYES429430"/>
    <s v="DAHY213675373"/>
    <s v="JIRJ3"/>
    <s v="AUtio1;AUto4"/>
    <m/>
    <m/>
    <s v="Particular"/>
    <m/>
    <m/>
    <m/>
    <s v="amplia"/>
    <m/>
    <n v="0"/>
    <m/>
    <n v="0"/>
    <m/>
    <m/>
    <m/>
    <m/>
    <m/>
    <s v="josegordillo@willis"/>
    <x v="0"/>
    <d v="2021-11-26T00:00:00"/>
    <n v="200"/>
    <x v="0"/>
    <n v="10"/>
    <x v="0"/>
    <n v="248.70399999999998"/>
    <x v="0"/>
    <n v="0"/>
    <n v="0"/>
    <n v="0"/>
    <s v="Póliza 1290268241"/>
    <n v="1290268241"/>
    <s v="CDMX"/>
    <d v="2020-11-26T00:00:00"/>
    <s v="77533121920"/>
    <s v="72"/>
    <n v="0"/>
    <n v="4.3999999999999995"/>
    <n v="34.304000000000002"/>
    <n v="30"/>
    <m/>
    <m/>
    <m/>
    <m/>
    <m/>
    <m/>
    <m/>
    <m/>
    <m/>
    <m/>
    <m/>
    <m/>
  </r>
  <r>
    <n v="4"/>
    <x v="0"/>
    <n v="341152"/>
    <s v="Empresa"/>
    <x v="0"/>
    <s v="JoseManuel"/>
    <s v="Gordillo"/>
    <s v="Montoya"/>
    <x v="1"/>
    <x v="1"/>
    <x v="1"/>
    <s v="HONDA"/>
    <s v="CC 250"/>
    <n v="2018"/>
    <s v="3002F7HY4JK001500"/>
    <s v="DAHY213675374"/>
    <s v="JIRJ4"/>
    <s v="AUtio1;AUto5"/>
    <m/>
    <m/>
    <s v="Particular"/>
    <m/>
    <m/>
    <m/>
    <s v="amplia"/>
    <m/>
    <n v="0"/>
    <m/>
    <n v="0"/>
    <m/>
    <m/>
    <m/>
    <m/>
    <m/>
    <s v="josegordillo@willis"/>
    <x v="0"/>
    <d v="2021-11-26T00:00:00"/>
    <n v="200"/>
    <x v="0"/>
    <n v="10"/>
    <x v="0"/>
    <n v="248.70399999999998"/>
    <x v="0"/>
    <n v="0"/>
    <n v="0"/>
    <n v="0"/>
    <s v="Póliza 1290268241"/>
    <n v="1290268241"/>
    <s v="CDMX"/>
    <d v="2020-11-26T00:00:00"/>
    <s v="77533121921"/>
    <s v="73"/>
    <n v="0"/>
    <n v="4.3999999999999995"/>
    <n v="34.304000000000002"/>
    <n v="30"/>
    <m/>
    <m/>
    <m/>
    <m/>
    <m/>
    <m/>
    <m/>
    <m/>
    <m/>
    <m/>
    <m/>
    <m/>
  </r>
  <r>
    <n v="5"/>
    <x v="0"/>
    <n v="341152"/>
    <s v="Empleado"/>
    <x v="0"/>
    <s v="JoseManuel"/>
    <s v="Gordillo"/>
    <s v="Montoya"/>
    <x v="1"/>
    <x v="1"/>
    <x v="2"/>
    <s v="FORD"/>
    <s v="RANGER TM DH AC PAQ SEG STD"/>
    <n v="2019"/>
    <s v="300AD75HYKK832990"/>
    <s v="DAHY213675375"/>
    <s v="JIRJ5"/>
    <s v="AUtio1;AUto6"/>
    <m/>
    <m/>
    <s v="Particular"/>
    <m/>
    <m/>
    <m/>
    <s v="amplia"/>
    <m/>
    <n v="0"/>
    <m/>
    <n v="0"/>
    <m/>
    <m/>
    <m/>
    <m/>
    <m/>
    <s v="josegordillo@willis"/>
    <x v="0"/>
    <d v="2021-11-26T00:00:00"/>
    <n v="200"/>
    <x v="0"/>
    <n v="10"/>
    <x v="0"/>
    <n v="248.70399999999998"/>
    <x v="0"/>
    <n v="0"/>
    <n v="0"/>
    <n v="0"/>
    <s v="Póliza 1290268241"/>
    <s v="1290268241"/>
    <s v="CDMX"/>
    <d v="2020-11-26T00:00:00"/>
    <s v="77533121922"/>
    <s v="74"/>
    <n v="0"/>
    <n v="4.3999999999999995"/>
    <n v="34.304000000000002"/>
    <n v="30"/>
    <m/>
    <m/>
    <m/>
    <m/>
    <m/>
    <m/>
    <m/>
    <m/>
    <m/>
    <m/>
    <m/>
    <m/>
  </r>
  <r>
    <n v="6"/>
    <x v="0"/>
    <n v="341152"/>
    <s v="Empleado"/>
    <x v="0"/>
    <s v="JoseManuel"/>
    <s v="Gordillo"/>
    <s v="Montoya"/>
    <x v="0"/>
    <x v="2"/>
    <x v="2"/>
    <s v="FORD"/>
    <s v="RANGER TM DH AC PAQ SEG STD"/>
    <n v="2019"/>
    <s v="300AD3HY3KK832010"/>
    <s v="DAHY213675375"/>
    <s v="JIRJ5"/>
    <s v="AUtio1;AUto6"/>
    <m/>
    <m/>
    <s v="Particular"/>
    <m/>
    <m/>
    <m/>
    <s v="amplia"/>
    <m/>
    <n v="0"/>
    <m/>
    <n v="0"/>
    <m/>
    <m/>
    <m/>
    <m/>
    <m/>
    <s v="josegordillo@willis"/>
    <x v="0"/>
    <d v="2021-11-26T00:00:00"/>
    <n v="2400"/>
    <x v="1"/>
    <n v="120"/>
    <x v="0"/>
    <n v="3062.3999999999996"/>
    <x v="0"/>
    <n v="0"/>
    <n v="0"/>
    <n v="0"/>
    <s v="Póliza 1290268258"/>
    <s v="1290268241"/>
    <s v="CDMX"/>
    <d v="2020-11-26T00:00:00"/>
    <s v="77533121923"/>
    <s v="75"/>
    <n v="0"/>
    <n v="120"/>
    <n v="422.40000000000003"/>
    <n v="360"/>
    <m/>
    <m/>
    <m/>
    <m/>
    <m/>
    <m/>
    <m/>
    <m/>
    <m/>
    <m/>
    <m/>
    <m/>
  </r>
  <r>
    <n v="7"/>
    <x v="1"/>
    <n v="341152"/>
    <s v="Empleado"/>
    <x v="0"/>
    <s v="JoseManuel"/>
    <s v="Gordillo"/>
    <s v="Montoya"/>
    <x v="2"/>
    <x v="2"/>
    <x v="2"/>
    <s v="FORD"/>
    <s v="RANGER TM DH AC PAQ SEG STD"/>
    <n v="2019"/>
    <s v="3005T35A3KK837000"/>
    <s v="DAHY213675375"/>
    <s v="JIRJ5"/>
    <s v="AUtio1;AUto6"/>
    <m/>
    <m/>
    <s v="Particular"/>
    <m/>
    <m/>
    <m/>
    <s v="amplia"/>
    <m/>
    <n v="0"/>
    <m/>
    <n v="0"/>
    <m/>
    <m/>
    <m/>
    <m/>
    <m/>
    <s v="josegordillo@willis"/>
    <x v="0"/>
    <d v="2021-11-26T00:00:00"/>
    <n v="2400"/>
    <x v="1"/>
    <n v="120"/>
    <x v="0"/>
    <n v="3062.3999999999996"/>
    <x v="0"/>
    <n v="0"/>
    <n v="0"/>
    <n v="0"/>
    <s v="Póliza 1290268258"/>
    <s v="1290268241"/>
    <s v="CDMX"/>
    <d v="2020-11-26T00:00:00"/>
    <s v="77533121924"/>
    <s v="76"/>
    <n v="0"/>
    <n v="120"/>
    <n v="422.40000000000003"/>
    <n v="360"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n v="1"/>
    <n v="352124"/>
    <n v="341152"/>
    <x v="0"/>
    <x v="0"/>
    <s v="JoseManuel"/>
    <s v="Gordillo"/>
    <s v="Montoya"/>
    <x v="0"/>
    <x v="0"/>
    <x v="0"/>
    <s v=" GENERAL MOTORS"/>
    <s v="AVEO TIPO (A) V8 AUT"/>
    <n v="2016"/>
    <s v="300SC7HY27R444660"/>
    <s v="DAHY213675371"/>
    <s v="JIRJ1"/>
    <s v="AUtio1;AUto2"/>
    <m/>
    <m/>
    <s v="Particular"/>
    <m/>
    <m/>
    <m/>
    <s v="amplia"/>
    <m/>
    <n v="0"/>
    <m/>
    <n v="0"/>
    <m/>
    <m/>
    <m/>
    <m/>
    <m/>
    <s v="josegordillo@willis"/>
    <d v="2020-11-26T00:00:00"/>
    <d v="2021-11-26T00:00:00"/>
    <n v="200"/>
    <n v="2.1999999999999999E-2"/>
    <n v="10"/>
    <n v="0.16"/>
    <n v="248.70399999999998"/>
    <n v="0.15"/>
    <n v="0"/>
    <n v="0"/>
    <n v="0"/>
    <s v="Póliza 1290268241"/>
    <s v="1290268241"/>
    <s v="CDMX"/>
    <d v="2020-11-26T00:00:00"/>
    <s v="77533121918"/>
    <s v="70"/>
    <n v="0"/>
    <n v="4.3999999999999995"/>
    <n v="34.304000000000002"/>
    <n v="30"/>
    <m/>
    <m/>
    <m/>
    <m/>
    <m/>
    <m/>
    <m/>
    <m/>
    <m/>
    <m/>
    <m/>
    <m/>
    <x v="0"/>
    <n v="200"/>
    <n v="1"/>
    <n v="2"/>
    <n v="3"/>
    <n v="4"/>
    <n v="5"/>
    <n v="6"/>
    <n v="7"/>
    <n v="8"/>
    <n v="9"/>
    <n v="10"/>
    <n v="1"/>
    <n v="1"/>
    <n v="1"/>
    <n v="1"/>
    <n v="1"/>
  </r>
  <r>
    <n v="2"/>
    <n v="352124"/>
    <n v="341152"/>
    <x v="1"/>
    <x v="0"/>
    <s v="JoseManuel"/>
    <s v="Gordillo"/>
    <s v="Montoya"/>
    <x v="0"/>
    <x v="0"/>
    <x v="0"/>
    <s v="GENERAL MOTORS"/>
    <s v="MALIBU LTZ L4 AUT"/>
    <n v="2016"/>
    <s v="300CJ7EH7GL2510920"/>
    <s v="DAHY213675372"/>
    <s v="JIRJ2"/>
    <s v="AUtio1;AUto3"/>
    <m/>
    <m/>
    <s v="Particular"/>
    <m/>
    <m/>
    <m/>
    <s v="amplia"/>
    <m/>
    <n v="0"/>
    <m/>
    <n v="0"/>
    <m/>
    <m/>
    <m/>
    <m/>
    <m/>
    <s v="josegordillo@willis"/>
    <d v="2020-11-26T00:00:00"/>
    <d v="2021-11-26T00:00:00"/>
    <n v="200"/>
    <n v="2.1999999999999999E-2"/>
    <n v="10"/>
    <n v="0.16"/>
    <n v="248.70399999999998"/>
    <n v="0.15"/>
    <n v="0"/>
    <n v="0"/>
    <n v="0"/>
    <s v="Póliza 1290268241"/>
    <n v="1290268241"/>
    <s v="CDMX"/>
    <d v="2020-11-26T00:00:00"/>
    <s v="77533121919"/>
    <s v="71"/>
    <n v="0"/>
    <n v="4.3999999999999995"/>
    <n v="34.304000000000002"/>
    <n v="30"/>
    <m/>
    <m/>
    <m/>
    <m/>
    <m/>
    <m/>
    <m/>
    <m/>
    <m/>
    <m/>
    <m/>
    <m/>
    <x v="1"/>
    <n v="200"/>
    <n v="1"/>
    <m/>
    <m/>
    <m/>
    <m/>
    <m/>
    <m/>
    <m/>
    <m/>
    <m/>
    <n v="1"/>
    <n v="0"/>
    <n v="0"/>
    <n v="0"/>
    <n v="0"/>
  </r>
  <r>
    <n v="3"/>
    <n v="352124"/>
    <n v="341152"/>
    <x v="1"/>
    <x v="0"/>
    <s v="JoseManuel"/>
    <s v="Gordillo"/>
    <s v="Montoya"/>
    <x v="0"/>
    <x v="0"/>
    <x v="0"/>
    <s v="TOYOTA"/>
    <s v="YARIS LE 8 PAS L6 AUT "/>
    <n v="2014"/>
    <s v="300K73DHYES429430"/>
    <s v="DAHY213675373"/>
    <s v="JIRJ3"/>
    <s v="AUtio1;AUto4"/>
    <m/>
    <m/>
    <s v="Particular"/>
    <m/>
    <m/>
    <m/>
    <s v="amplia"/>
    <m/>
    <n v="0"/>
    <m/>
    <n v="0"/>
    <m/>
    <m/>
    <m/>
    <m/>
    <m/>
    <s v="josegordillo@willis"/>
    <d v="2020-11-26T00:00:00"/>
    <d v="2021-11-26T00:00:00"/>
    <n v="200"/>
    <n v="2.1999999999999999E-2"/>
    <n v="10"/>
    <n v="0.16"/>
    <n v="248.70399999999998"/>
    <n v="0.15"/>
    <n v="0"/>
    <n v="0"/>
    <n v="0"/>
    <s v="Póliza 1290268241"/>
    <n v="1290268241"/>
    <s v="CDMX"/>
    <d v="2020-11-26T00:00:00"/>
    <s v="77533121920"/>
    <s v="72"/>
    <n v="0"/>
    <n v="4.3999999999999995"/>
    <n v="34.304000000000002"/>
    <n v="30"/>
    <m/>
    <m/>
    <m/>
    <m/>
    <m/>
    <m/>
    <m/>
    <m/>
    <m/>
    <m/>
    <m/>
    <m/>
    <x v="2"/>
    <n v="200"/>
    <n v="1"/>
    <m/>
    <m/>
    <m/>
    <m/>
    <m/>
    <m/>
    <m/>
    <m/>
    <m/>
    <n v="1"/>
    <n v="0"/>
    <n v="0"/>
    <n v="0"/>
    <n v="0"/>
  </r>
  <r>
    <n v="4"/>
    <n v="352124"/>
    <n v="341152"/>
    <x v="0"/>
    <x v="0"/>
    <s v="JoseManuel"/>
    <s v="Gordillo"/>
    <s v="Montoya"/>
    <x v="1"/>
    <x v="1"/>
    <x v="1"/>
    <s v="HONDA"/>
    <s v="CC 250"/>
    <n v="2018"/>
    <s v="3002F7HY4JK001500"/>
    <s v="DAHY213675374"/>
    <s v="JIRJ4"/>
    <s v="AUtio1;AUto5"/>
    <m/>
    <m/>
    <s v="Particular"/>
    <m/>
    <m/>
    <m/>
    <s v="amplia"/>
    <m/>
    <n v="0"/>
    <m/>
    <n v="0"/>
    <m/>
    <m/>
    <m/>
    <m/>
    <m/>
    <s v="josegordillo@willis"/>
    <d v="2020-11-26T00:00:00"/>
    <d v="2021-11-26T00:00:00"/>
    <n v="200"/>
    <n v="2.1999999999999999E-2"/>
    <n v="10"/>
    <n v="0.16"/>
    <n v="248.70399999999998"/>
    <n v="0.15"/>
    <n v="0"/>
    <n v="0"/>
    <n v="0"/>
    <s v="Póliza 1290268241"/>
    <n v="1290268241"/>
    <s v="CDMX"/>
    <d v="2020-11-26T00:00:00"/>
    <s v="77533121921"/>
    <s v="73"/>
    <n v="0"/>
    <n v="4.3999999999999995"/>
    <n v="34.304000000000002"/>
    <n v="30"/>
    <m/>
    <m/>
    <m/>
    <m/>
    <m/>
    <m/>
    <m/>
    <m/>
    <m/>
    <m/>
    <m/>
    <m/>
    <x v="2"/>
    <n v="200"/>
    <n v="1"/>
    <m/>
    <m/>
    <m/>
    <m/>
    <m/>
    <m/>
    <m/>
    <m/>
    <m/>
    <n v="1"/>
    <n v="0"/>
    <n v="0"/>
    <n v="0"/>
    <n v="0"/>
  </r>
  <r>
    <n v="5"/>
    <n v="352124"/>
    <n v="341152"/>
    <x v="1"/>
    <x v="0"/>
    <s v="JoseManuel"/>
    <s v="Gordillo"/>
    <s v="Montoya"/>
    <x v="1"/>
    <x v="1"/>
    <x v="2"/>
    <s v="FORD"/>
    <s v="RANGER TM DH AC PAQ SEG STD"/>
    <n v="2019"/>
    <s v="300AD75HYKK832990"/>
    <s v="DAHY213675375"/>
    <s v="JIRJ5"/>
    <s v="AUtio1;AUto6"/>
    <m/>
    <m/>
    <s v="Particular"/>
    <m/>
    <m/>
    <m/>
    <s v="amplia"/>
    <m/>
    <n v="0"/>
    <m/>
    <n v="0"/>
    <m/>
    <m/>
    <m/>
    <m/>
    <m/>
    <s v="josegordillo@willis"/>
    <d v="2020-11-26T00:00:00"/>
    <d v="2021-11-26T00:00:00"/>
    <n v="200"/>
    <n v="2.1999999999999999E-2"/>
    <n v="10"/>
    <n v="0.16"/>
    <n v="248.70399999999998"/>
    <n v="0.13"/>
    <n v="0"/>
    <n v="0"/>
    <n v="0"/>
    <s v="Póliza 1290268241"/>
    <s v="1290268241"/>
    <s v="CDMX"/>
    <d v="2020-11-26T00:00:00"/>
    <s v="77533121922"/>
    <s v="74"/>
    <n v="0"/>
    <n v="4.3999999999999995"/>
    <n v="34.304000000000002"/>
    <n v="26"/>
    <m/>
    <m/>
    <m/>
    <m/>
    <m/>
    <m/>
    <m/>
    <m/>
    <m/>
    <m/>
    <m/>
    <m/>
    <x v="2"/>
    <n v="200"/>
    <n v="1"/>
    <m/>
    <m/>
    <m/>
    <m/>
    <m/>
    <m/>
    <m/>
    <m/>
    <m/>
    <n v="1"/>
    <n v="0"/>
    <n v="0"/>
    <n v="0"/>
    <n v="0"/>
  </r>
  <r>
    <n v="6"/>
    <n v="352124"/>
    <n v="341152"/>
    <x v="1"/>
    <x v="0"/>
    <s v="JoseManuel"/>
    <s v="Gordillo"/>
    <s v="Montoya"/>
    <x v="0"/>
    <x v="2"/>
    <x v="2"/>
    <s v="FORD"/>
    <s v="RANGER TM DH AC PAQ SEG STD"/>
    <n v="2019"/>
    <s v="300AD3HY3KK832010"/>
    <s v="DAHY213675375"/>
    <s v="JIRJ5"/>
    <s v="AUtio1;AUto6"/>
    <m/>
    <m/>
    <s v="Particular"/>
    <m/>
    <m/>
    <m/>
    <s v="amplia"/>
    <m/>
    <n v="0"/>
    <m/>
    <n v="0"/>
    <m/>
    <m/>
    <m/>
    <m/>
    <m/>
    <s v="josegordillo@willis"/>
    <d v="2020-11-26T00:00:00"/>
    <d v="2021-11-26T00:00:00"/>
    <n v="2400"/>
    <n v="0.05"/>
    <n v="120"/>
    <n v="0.16"/>
    <n v="3062.3999999999996"/>
    <n v="0.13"/>
    <n v="0"/>
    <n v="0"/>
    <n v="0"/>
    <s v="Póliza 1290268258"/>
    <s v="1290268241"/>
    <s v="CDMX"/>
    <d v="2020-11-26T00:00:00"/>
    <s v="77533121923"/>
    <s v="75"/>
    <n v="0"/>
    <n v="120"/>
    <n v="422.40000000000003"/>
    <n v="312"/>
    <m/>
    <m/>
    <m/>
    <m/>
    <m/>
    <m/>
    <m/>
    <m/>
    <m/>
    <m/>
    <m/>
    <m/>
    <x v="2"/>
    <n v="2400"/>
    <m/>
    <m/>
    <m/>
    <m/>
    <m/>
    <m/>
    <m/>
    <m/>
    <m/>
    <m/>
    <n v="0"/>
    <n v="0"/>
    <n v="0"/>
    <n v="0"/>
    <n v="0"/>
  </r>
  <r>
    <n v="7"/>
    <n v="352125"/>
    <n v="341152"/>
    <x v="1"/>
    <x v="0"/>
    <s v="JoseManuel"/>
    <s v="Gordillo"/>
    <s v="Montoya"/>
    <x v="2"/>
    <x v="2"/>
    <x v="2"/>
    <s v="FORD"/>
    <s v="RANGER TM DH AC PAQ SEG STD"/>
    <n v="2019"/>
    <s v="3005T35A3KK837000"/>
    <s v="DAHY213675375"/>
    <s v="JIRJ5"/>
    <s v="AUtio1;AUto6"/>
    <m/>
    <m/>
    <s v="Particular"/>
    <m/>
    <m/>
    <m/>
    <s v="amplia"/>
    <m/>
    <n v="0"/>
    <m/>
    <n v="0"/>
    <m/>
    <m/>
    <m/>
    <m/>
    <m/>
    <s v="josegordillo@willis"/>
    <d v="2020-11-26T00:00:00"/>
    <d v="2021-11-26T00:00:00"/>
    <n v="2400"/>
    <n v="0.05"/>
    <n v="120"/>
    <n v="0.16"/>
    <n v="3062.3999999999996"/>
    <n v="0.13"/>
    <n v="0"/>
    <n v="0"/>
    <n v="0"/>
    <s v="Póliza 1290268258"/>
    <s v="1290268241"/>
    <s v="CDMX"/>
    <d v="2020-11-26T00:00:00"/>
    <s v="77533121924"/>
    <s v="76"/>
    <n v="0"/>
    <n v="120"/>
    <n v="422.40000000000003"/>
    <n v="312"/>
    <m/>
    <m/>
    <m/>
    <m/>
    <m/>
    <m/>
    <m/>
    <m/>
    <m/>
    <m/>
    <m/>
    <m/>
    <x v="2"/>
    <n v="2400"/>
    <m/>
    <m/>
    <m/>
    <m/>
    <m/>
    <m/>
    <m/>
    <m/>
    <m/>
    <m/>
    <n v="0"/>
    <n v="0"/>
    <n v="0"/>
    <n v="0"/>
    <n v="0"/>
  </r>
  <r>
    <n v="1"/>
    <n v="352124"/>
    <n v="341152"/>
    <x v="0"/>
    <x v="0"/>
    <s v="JoseManuel"/>
    <s v="Gordillo"/>
    <s v="Montoya"/>
    <x v="0"/>
    <x v="0"/>
    <x v="0"/>
    <s v=" GENERAL MOTORS"/>
    <s v="AVEO TIPO (A) V8 AUT"/>
    <n v="2016"/>
    <s v="300SC7HY27R444660"/>
    <s v="DAHY213675371"/>
    <s v="JIRJ1"/>
    <s v="AUtio1;AUto2"/>
    <m/>
    <m/>
    <s v="Particular"/>
    <m/>
    <m/>
    <m/>
    <s v="amplia"/>
    <m/>
    <n v="0"/>
    <m/>
    <n v="0"/>
    <m/>
    <m/>
    <m/>
    <m/>
    <m/>
    <s v="josegordillo@willis"/>
    <d v="2020-11-26T00:00:00"/>
    <d v="2021-11-26T00:00:00"/>
    <n v="200"/>
    <n v="2.1999999999999999E-2"/>
    <n v="10"/>
    <n v="0.16"/>
    <n v="248.70399999999998"/>
    <n v="0.15"/>
    <n v="0"/>
    <n v="0"/>
    <n v="0"/>
    <s v="Póliza 1290268241"/>
    <s v="1290268241"/>
    <s v="CDMX"/>
    <d v="2020-11-26T00:00:00"/>
    <s v="77533121918"/>
    <s v="70"/>
    <n v="0"/>
    <n v="4.3999999999999995"/>
    <n v="34.304000000000002"/>
    <n v="30"/>
    <m/>
    <m/>
    <m/>
    <m/>
    <m/>
    <m/>
    <m/>
    <m/>
    <m/>
    <m/>
    <m/>
    <m/>
    <x v="2"/>
    <n v="200"/>
    <m/>
    <m/>
    <m/>
    <m/>
    <m/>
    <m/>
    <m/>
    <m/>
    <m/>
    <m/>
    <n v="0"/>
    <n v="0"/>
    <n v="0"/>
    <n v="0"/>
    <n v="0"/>
  </r>
  <r>
    <n v="2"/>
    <n v="352124"/>
    <n v="341152"/>
    <x v="1"/>
    <x v="0"/>
    <s v="JoseManuel"/>
    <s v="Gordillo"/>
    <s v="Montoya"/>
    <x v="0"/>
    <x v="0"/>
    <x v="0"/>
    <s v="GENERAL MOTORS"/>
    <s v="MALIBU LTZ L4 AUT"/>
    <n v="2016"/>
    <s v="300CJ7EH7GL2510920"/>
    <s v="DAHY213675372"/>
    <s v="JIRJ2"/>
    <s v="AUtio1;AUto3"/>
    <m/>
    <m/>
    <s v="Particular"/>
    <m/>
    <m/>
    <m/>
    <s v="amplia"/>
    <m/>
    <n v="0"/>
    <m/>
    <n v="0"/>
    <m/>
    <m/>
    <m/>
    <m/>
    <m/>
    <s v="josegordillo@willis"/>
    <d v="2020-11-26T00:00:00"/>
    <d v="2021-11-26T00:00:00"/>
    <n v="200"/>
    <n v="2.1999999999999999E-2"/>
    <n v="10"/>
    <n v="0.16"/>
    <n v="248.70399999999998"/>
    <n v="0.15"/>
    <n v="0"/>
    <n v="0"/>
    <n v="0"/>
    <s v="Póliza 1290268241"/>
    <n v="1290268241"/>
    <s v="CDMX"/>
    <d v="2020-11-26T00:00:00"/>
    <s v="77533121919"/>
    <s v="71"/>
    <n v="0"/>
    <n v="4.3999999999999995"/>
    <n v="34.304000000000002"/>
    <n v="30"/>
    <m/>
    <m/>
    <m/>
    <m/>
    <m/>
    <m/>
    <m/>
    <m/>
    <m/>
    <m/>
    <m/>
    <m/>
    <x v="2"/>
    <n v="200"/>
    <m/>
    <m/>
    <m/>
    <m/>
    <m/>
    <m/>
    <m/>
    <m/>
    <m/>
    <m/>
    <n v="0"/>
    <n v="0"/>
    <n v="0"/>
    <n v="0"/>
    <n v="0"/>
  </r>
  <r>
    <n v="3"/>
    <n v="352124"/>
    <n v="341152"/>
    <x v="1"/>
    <x v="0"/>
    <s v="JoseManuel"/>
    <s v="Gordillo"/>
    <s v="Montoya"/>
    <x v="0"/>
    <x v="0"/>
    <x v="0"/>
    <s v="TOYOTA"/>
    <s v="YARIS LE 8 PAS L6 AUT "/>
    <n v="2014"/>
    <s v="300K73DHYES429430"/>
    <s v="DAHY213675373"/>
    <s v="JIRJ3"/>
    <s v="AUtio1;AUto4"/>
    <m/>
    <m/>
    <s v="Particular"/>
    <m/>
    <m/>
    <m/>
    <s v="amplia"/>
    <m/>
    <n v="0"/>
    <m/>
    <n v="0"/>
    <m/>
    <m/>
    <m/>
    <m/>
    <m/>
    <s v="josegordillo@willis"/>
    <d v="2020-11-26T00:00:00"/>
    <d v="2021-11-26T00:00:00"/>
    <n v="200"/>
    <n v="2.1999999999999999E-2"/>
    <n v="10"/>
    <n v="0.16"/>
    <n v="248.70399999999998"/>
    <n v="0.15"/>
    <n v="0"/>
    <n v="0"/>
    <n v="0"/>
    <s v="Póliza 1290268241"/>
    <n v="1290268241"/>
    <s v="CDMX"/>
    <d v="2020-11-26T00:00:00"/>
    <s v="77533121920"/>
    <s v="72"/>
    <n v="0"/>
    <n v="4.3999999999999995"/>
    <n v="34.304000000000002"/>
    <n v="30"/>
    <m/>
    <m/>
    <m/>
    <m/>
    <m/>
    <m/>
    <m/>
    <m/>
    <m/>
    <m/>
    <m/>
    <m/>
    <x v="2"/>
    <n v="200"/>
    <m/>
    <m/>
    <m/>
    <m/>
    <m/>
    <m/>
    <m/>
    <m/>
    <m/>
    <m/>
    <n v="0"/>
    <n v="0"/>
    <n v="0"/>
    <n v="0"/>
    <n v="0"/>
  </r>
  <r>
    <n v="4"/>
    <n v="352124"/>
    <n v="341152"/>
    <x v="0"/>
    <x v="0"/>
    <s v="JoseManuel"/>
    <s v="Gordillo"/>
    <s v="Montoya"/>
    <x v="1"/>
    <x v="1"/>
    <x v="1"/>
    <s v="HONDA"/>
    <s v="CC 250"/>
    <n v="2018"/>
    <s v="3002F7HY4JK001500"/>
    <s v="DAHY213675374"/>
    <s v="JIRJ4"/>
    <s v="AUtio1;AUto5"/>
    <m/>
    <m/>
    <s v="Particular"/>
    <m/>
    <m/>
    <m/>
    <s v="amplia"/>
    <m/>
    <n v="0"/>
    <m/>
    <n v="0"/>
    <m/>
    <m/>
    <m/>
    <m/>
    <m/>
    <s v="josegordillo@willis"/>
    <d v="2020-11-26T00:00:00"/>
    <d v="2021-11-26T00:00:00"/>
    <n v="200"/>
    <n v="2.1999999999999999E-2"/>
    <n v="10"/>
    <n v="0.16"/>
    <n v="248.70399999999998"/>
    <n v="0.15"/>
    <n v="0"/>
    <n v="0"/>
    <n v="0"/>
    <s v="Póliza 1290268241"/>
    <n v="1290268241"/>
    <s v="CDMX"/>
    <d v="2020-11-26T00:00:00"/>
    <s v="77533121921"/>
    <s v="73"/>
    <n v="0"/>
    <n v="4.3999999999999995"/>
    <n v="34.304000000000002"/>
    <n v="30"/>
    <m/>
    <m/>
    <m/>
    <m/>
    <m/>
    <m/>
    <m/>
    <m/>
    <m/>
    <m/>
    <m/>
    <m/>
    <x v="2"/>
    <n v="200"/>
    <m/>
    <m/>
    <m/>
    <m/>
    <m/>
    <m/>
    <m/>
    <m/>
    <m/>
    <m/>
    <n v="0"/>
    <n v="0"/>
    <n v="0"/>
    <n v="0"/>
    <n v="0"/>
  </r>
  <r>
    <n v="5"/>
    <n v="352124"/>
    <n v="341152"/>
    <x v="1"/>
    <x v="0"/>
    <s v="JoseManuel"/>
    <s v="Gordillo"/>
    <s v="Montoya"/>
    <x v="1"/>
    <x v="1"/>
    <x v="2"/>
    <s v="FORD"/>
    <s v="RANGER TM DH AC PAQ SEG STD"/>
    <n v="2019"/>
    <s v="300AD75HYKK832990"/>
    <s v="DAHY213675375"/>
    <s v="JIRJ5"/>
    <s v="AUtio1;AUto6"/>
    <m/>
    <m/>
    <s v="Particular"/>
    <m/>
    <m/>
    <m/>
    <s v="amplia"/>
    <m/>
    <n v="0"/>
    <m/>
    <n v="0"/>
    <m/>
    <m/>
    <m/>
    <m/>
    <m/>
    <s v="josegordillo@willis"/>
    <d v="2020-11-26T00:00:00"/>
    <d v="2021-11-26T00:00:00"/>
    <n v="200"/>
    <n v="2.1999999999999999E-2"/>
    <n v="10"/>
    <n v="0.16"/>
    <n v="248.70399999999998"/>
    <n v="0.13"/>
    <n v="0"/>
    <n v="0"/>
    <n v="0"/>
    <s v="Póliza 1290268241"/>
    <s v="1290268241"/>
    <s v="CDMX"/>
    <d v="2020-11-26T00:00:00"/>
    <s v="77533121922"/>
    <s v="74"/>
    <n v="0"/>
    <n v="4.3999999999999995"/>
    <n v="34.304000000000002"/>
    <n v="26"/>
    <m/>
    <m/>
    <m/>
    <m/>
    <m/>
    <m/>
    <m/>
    <m/>
    <m/>
    <m/>
    <m/>
    <m/>
    <x v="2"/>
    <n v="200"/>
    <m/>
    <m/>
    <m/>
    <m/>
    <m/>
    <m/>
    <m/>
    <m/>
    <m/>
    <m/>
    <n v="0"/>
    <n v="0"/>
    <n v="0"/>
    <n v="0"/>
    <n v="0"/>
  </r>
  <r>
    <n v="6"/>
    <n v="352124"/>
    <n v="341152"/>
    <x v="1"/>
    <x v="0"/>
    <s v="JoseManuel"/>
    <s v="Gordillo"/>
    <s v="Montoya"/>
    <x v="0"/>
    <x v="2"/>
    <x v="2"/>
    <s v="FORD"/>
    <s v="RANGER TM DH AC PAQ SEG STD"/>
    <n v="2019"/>
    <s v="300AD3HY3KK832010"/>
    <s v="DAHY213675375"/>
    <s v="JIRJ5"/>
    <s v="AUtio1;AUto6"/>
    <m/>
    <m/>
    <s v="Particular"/>
    <m/>
    <m/>
    <m/>
    <s v="amplia"/>
    <m/>
    <n v="0"/>
    <m/>
    <n v="0"/>
    <m/>
    <m/>
    <m/>
    <m/>
    <m/>
    <s v="josegordillo@willis"/>
    <d v="2020-11-26T00:00:00"/>
    <d v="2021-11-26T00:00:00"/>
    <n v="2400"/>
    <n v="0.05"/>
    <n v="120"/>
    <n v="0.16"/>
    <n v="3062.3999999999996"/>
    <n v="0.13"/>
    <n v="0"/>
    <n v="0"/>
    <n v="0"/>
    <s v="Póliza 1290268258"/>
    <s v="1290268241"/>
    <s v="CDMX"/>
    <d v="2020-11-26T00:00:00"/>
    <s v="77533121923"/>
    <s v="75"/>
    <n v="0"/>
    <n v="120"/>
    <n v="422.40000000000003"/>
    <n v="312"/>
    <m/>
    <m/>
    <m/>
    <m/>
    <m/>
    <m/>
    <m/>
    <m/>
    <m/>
    <m/>
    <m/>
    <m/>
    <x v="2"/>
    <n v="2400"/>
    <m/>
    <m/>
    <m/>
    <m/>
    <m/>
    <m/>
    <m/>
    <m/>
    <m/>
    <m/>
    <n v="0"/>
    <n v="0"/>
    <n v="0"/>
    <n v="0"/>
    <n v="0"/>
  </r>
  <r>
    <n v="7"/>
    <n v="352125"/>
    <n v="341152"/>
    <x v="1"/>
    <x v="0"/>
    <s v="JoseManuel"/>
    <s v="Gordillo"/>
    <s v="Montoya"/>
    <x v="2"/>
    <x v="2"/>
    <x v="2"/>
    <s v="FORD"/>
    <s v="RANGER TM DH AC PAQ SEG STD"/>
    <n v="2019"/>
    <s v="3005T35A3KK837000"/>
    <s v="DAHY213675375"/>
    <s v="JIRJ5"/>
    <s v="AUtio1;AUto6"/>
    <m/>
    <m/>
    <s v="Particular"/>
    <m/>
    <m/>
    <m/>
    <s v="amplia"/>
    <m/>
    <n v="0"/>
    <m/>
    <n v="0"/>
    <m/>
    <m/>
    <m/>
    <m/>
    <m/>
    <s v="josegordillo@willis"/>
    <d v="2020-11-26T00:00:00"/>
    <d v="2021-11-26T00:00:00"/>
    <n v="2400"/>
    <n v="0.05"/>
    <n v="120"/>
    <n v="0.16"/>
    <n v="3062.3999999999996"/>
    <n v="0.13"/>
    <n v="0"/>
    <n v="0"/>
    <n v="0"/>
    <s v="Póliza 1290268258"/>
    <s v="1290268241"/>
    <s v="CDMX"/>
    <d v="2020-11-26T00:00:00"/>
    <s v="77533121924"/>
    <s v="76"/>
    <n v="0"/>
    <n v="120"/>
    <n v="422.40000000000003"/>
    <n v="312"/>
    <m/>
    <m/>
    <m/>
    <m/>
    <m/>
    <m/>
    <m/>
    <m/>
    <m/>
    <m/>
    <m/>
    <m/>
    <x v="2"/>
    <n v="2400"/>
    <m/>
    <m/>
    <m/>
    <m/>
    <m/>
    <m/>
    <m/>
    <m/>
    <m/>
    <m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DC4F0F-0FA4-4722-8FEE-7CFDCE465007}" name="TablaDinámica2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compact="0" compactData="0" gridDropZones="1" multipleFieldFilters="0">
  <location ref="A3:L10" firstHeaderRow="1" firstDataRow="2" firstDataCol="9"/>
  <pivotFields count="68">
    <pivotField dataField="1" compact="0" outline="0" showAll="0"/>
    <pivotField axis="axisRow" compact="0" outline="0" showAll="0" defaultSubtotal="0">
      <items count="2">
        <item x="0"/>
        <item x="1"/>
      </items>
    </pivotField>
    <pivotField compact="0" outline="0" showAll="0"/>
    <pivotField compact="0" outline="0" showAll="0"/>
    <pivotField name="Empresa" axis="axisRow" compact="0" outline="0" showAll="0" defaultSubtotal="0">
      <items count="1">
        <item x="0"/>
      </items>
    </pivotField>
    <pivotField compact="0" outline="0" showAll="0"/>
    <pivotField compact="0" outline="0" showAll="0"/>
    <pivotField compact="0" outline="0" showAll="0"/>
    <pivotField axis="axisRow" compact="0" outline="0" showAll="0" defaultSubtotal="0">
      <items count="3">
        <item x="1"/>
        <item x="0"/>
        <item x="2"/>
      </items>
    </pivotField>
    <pivotField axis="axisRow" compact="0" outline="0" showAll="0" defaultSubtotal="0">
      <items count="3">
        <item x="0"/>
        <item x="1"/>
        <item x="2"/>
      </items>
    </pivotField>
    <pivotField name="Subramo" axis="axisRow" compact="0" outline="0" showAll="0" defaultSubtotal="0">
      <items count="3">
        <item x="0"/>
        <item x="2"/>
        <item x="1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name="Inicio de Vigencia" axis="axisRow" compact="0" numFmtId="14" outline="0" showAll="0" defaultSubtotal="0">
      <items count="1">
        <item x="0"/>
      </items>
    </pivotField>
    <pivotField compact="0" numFmtId="14" outline="0" showAll="0"/>
    <pivotField dataField="1" compact="0" numFmtId="2" outline="0" showAll="0"/>
    <pivotField name="Recargo" axis="axisRow" compact="0" numFmtId="10" outline="0" showAll="0" defaultSubtotal="0">
      <items count="2">
        <item x="0"/>
        <item x="1"/>
      </items>
    </pivotField>
    <pivotField dataField="1" compact="0" numFmtId="2" outline="0" showAll="0"/>
    <pivotField name="IVA" axis="axisRow" compact="0" numFmtId="10" outline="0" showAll="0" defaultSubtotal="0">
      <items count="1">
        <item x="0"/>
      </items>
    </pivotField>
    <pivotField compact="0" numFmtId="2" outline="0" showAll="0"/>
    <pivotField name="Comisión" axis="axisRow" compact="0" numFmtId="10" outline="0" showAll="0" defaultSubtotal="0">
      <items count="1">
        <item x="0"/>
      </items>
    </pivotField>
    <pivotField compact="0" numFmtId="10" outline="0" showAll="0"/>
    <pivotField compact="0" numFmtId="10" outline="0" showAll="0"/>
    <pivotField compact="0" outline="0" showAll="0"/>
    <pivotField compact="0" outline="0" showAll="0"/>
    <pivotField compact="0" numFmtId="49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9">
    <field x="10"/>
    <field x="4"/>
    <field x="1"/>
    <field x="9"/>
    <field x="8"/>
    <field x="35"/>
    <field x="40"/>
    <field x="38"/>
    <field x="42"/>
  </rowFields>
  <rowItems count="6">
    <i>
      <x/>
      <x/>
      <x/>
      <x/>
      <x v="1"/>
      <x/>
      <x/>
      <x/>
      <x/>
    </i>
    <i>
      <x v="1"/>
      <x/>
      <x/>
      <x v="1"/>
      <x/>
      <x/>
      <x/>
      <x/>
      <x/>
    </i>
    <i r="3">
      <x v="2"/>
      <x v="1"/>
      <x/>
      <x/>
      <x v="1"/>
      <x/>
    </i>
    <i r="2">
      <x v="1"/>
      <x v="2"/>
      <x v="2"/>
      <x/>
      <x/>
      <x v="1"/>
      <x/>
    </i>
    <i>
      <x v="2"/>
      <x/>
      <x/>
      <x v="1"/>
      <x/>
      <x/>
      <x/>
      <x/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Inciso " fld="0" subtotal="count" baseField="42" baseItem="1"/>
    <dataField name="PN" fld="37" baseField="0" baseItem="0"/>
    <dataField name="Derechos" fld="39" baseField="0" baseItem="0" numFmtId="183"/>
  </dataFields>
  <formats count="3">
    <format dxfId="357">
      <pivotArea outline="0" collapsedLevelsAreSubtotals="1" fieldPosition="0"/>
    </format>
    <format dxfId="356">
      <pivotArea outline="0" fieldPosition="0">
        <references count="1">
          <reference field="4294967294" count="1" selected="0">
            <x v="2"/>
          </reference>
        </references>
      </pivotArea>
    </format>
    <format dxfId="355">
      <pivotArea outline="0" fieldPosition="0">
        <references count="10">
          <reference field="4294967294" count="1" selected="0">
            <x v="0"/>
          </reference>
          <reference field="1" count="0" selected="0"/>
          <reference field="4" count="0" selected="0"/>
          <reference field="8" count="0" selected="0"/>
          <reference field="9" count="0" selected="0"/>
          <reference field="10" count="0" selected="0"/>
          <reference field="35" count="0" selected="0"/>
          <reference field="38" count="0" selected="0"/>
          <reference field="40" count="0" selected="0"/>
          <reference field="42" count="0" selected="0"/>
        </references>
      </pivotArea>
    </format>
  </format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47C0C4-7311-4989-A2A7-6B71237D187B}" name="TablaDinámica2" cacheId="1" applyNumberFormats="0" applyBorderFormats="0" applyFontFormats="0" applyPatternFormats="0" applyAlignmentFormats="0" applyWidthHeightFormats="1" dataCaption="Valores" updatedVersion="6" minRefreshableVersion="3" printDrill="1" useAutoFormatting="1" fieldPrintTitles="1" itemPrintTitles="1" createdVersion="6" indent="0" outline="1" outlineData="1" multipleFieldFilters="0">
  <location ref="A3:R6" firstHeaderRow="0" firstDataRow="1" firstDataCol="1"/>
  <pivotFields count="85"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>
      <items count="2">
        <item x="0"/>
        <item t="default"/>
      </items>
    </pivotField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>
      <items count="7">
        <item m="1" x="4"/>
        <item m="1" x="5"/>
        <item m="1" x="3"/>
        <item x="0"/>
        <item x="1"/>
        <item x="2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showAll="0"/>
    <pivotField numFmtId="4" showAll="0"/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numFmtId="2" showAll="0"/>
    <pivotField numFmtId="10" showAll="0"/>
    <pivotField numFmtId="2" showAll="0"/>
    <pivotField numFmtId="9" showAll="0"/>
    <pivotField numFmtId="2" showAll="0"/>
    <pivotField numFmtId="184" showAll="0"/>
    <pivotField numFmtId="184" showAll="0"/>
    <pivotField numFmtId="184" showAll="0"/>
    <pivotField numFmtId="184" showAll="0"/>
    <pivotField showAll="0"/>
    <pivotField showAll="0"/>
    <pivotField showAll="0"/>
    <pivotField numFmtId="14" showAll="0"/>
    <pivotField showAll="0"/>
    <pivotField dataField="1" showAll="0"/>
    <pivotField numFmtId="1" showAll="0"/>
    <pivotField numFmtId="2" showAll="0"/>
    <pivotField numFmtId="2" showAll="0"/>
    <pivotField numFmtId="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dataField="1" numFmtId="4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3"/>
  </rowFields>
  <rowItems count="3">
    <i>
      <x/>
    </i>
    <i>
      <x v="1"/>
    </i>
    <i t="grand">
      <x/>
    </i>
  </rowItems>
  <colFields count="1">
    <field x="-2"/>
  </colFields>
  <colItems count="17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</colItems>
  <dataFields count="17">
    <dataField name="Cuenta de Inciso" fld="51" subtotal="count" baseField="4" baseItem="0"/>
    <dataField name="Suma de PN Anualizada" fld="69" baseField="0" baseItem="0" numFmtId="4"/>
    <dataField name="Suma de Unidades 1" fld="80" baseField="0" baseItem="0"/>
    <dataField name="Suma de Prima Neta 1" fld="70" baseField="0" baseItem="0"/>
    <dataField name="Suma de Op.2 Prima Neta 1" fld="71" baseField="0" baseItem="0"/>
    <dataField name="Suma de Unidades 2" fld="81" baseField="0" baseItem="0"/>
    <dataField name="Suma de Prima Neta 2" fld="72" baseField="0" baseItem="0"/>
    <dataField name="Suma de Op.2 Prima Neta 2" fld="73" baseField="0" baseItem="0"/>
    <dataField name="Suma de Unidades 3" fld="82" baseField="0" baseItem="0"/>
    <dataField name="Suma de Prima Neta 3" fld="74" baseField="0" baseItem="0"/>
    <dataField name="Suma de Op.2 Prima Neta 3" fld="75" baseField="0" baseItem="0"/>
    <dataField name="Suma de Unidades 4" fld="83" baseField="0" baseItem="0"/>
    <dataField name="Suma de Prima Neta 4" fld="76" baseField="0" baseItem="0"/>
    <dataField name="Suma de Op.2 Prima Neta 4" fld="77" baseField="0" baseItem="0"/>
    <dataField name="Suma de Unidades 5" fld="84" baseField="0" baseItem="0"/>
    <dataField name="Suma de Prima Neta 5" fld="78" baseField="0" baseItem="0"/>
    <dataField name="Suma de Op.2 Prima Neta 5" fld="79" baseField="0" baseItem="0"/>
  </dataFields>
  <formats count="1">
    <format dxfId="35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ipo_de_Flotilla__Empresa___Empleado" xr10:uid="{4946F007-1D92-42B5-9F88-7622AD08E5FB}" sourceName="Tipo de Flotilla: Empresa / Empleado">
  <pivotTables>
    <pivotTable tabId="24" name="TablaDinámica2"/>
  </pivotTables>
  <data>
    <tabular pivotCacheId="306092206">
      <items count="2">
        <i x="1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EmpresaFilial" xr10:uid="{2692DC85-A0FE-4EA8-94C1-33F7FF25426F}" sourceName="EmpresaFilial">
  <pivotTables>
    <pivotTable tabId="24" name="TablaDinámica2"/>
  </pivotTables>
  <data>
    <tabular pivotCacheId="306092206">
      <items count="1"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FormaDePago" xr10:uid="{D5B9D600-5521-4F90-A99C-BDEBECA20EEB}" sourceName="FormaDePago">
  <pivotTables>
    <pivotTable tabId="24" name="TablaDinámica2"/>
  </pivotTables>
  <data>
    <tabular pivotCacheId="306092206">
      <items count="3">
        <i x="1" s="1"/>
        <i x="0" s="1"/>
        <i x="2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Grupo" xr10:uid="{342A5050-9591-45EB-A8B1-5A6C8332C0B8}" sourceName="Grupo">
  <pivotTables>
    <pivotTable tabId="24" name="TablaDinámica2"/>
  </pivotTables>
  <data>
    <tabular pivotCacheId="306092206">
      <items count="6">
        <i x="0" s="1"/>
        <i x="1" s="1"/>
        <i x="2" s="1"/>
        <i x="4" s="1" nd="1"/>
        <i x="5" s="1" nd="1"/>
        <i x="3" s="1" nd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amoAutoCamiónMotoEtc" xr10:uid="{A29104A5-2682-44BC-A256-9B2C46A24F01}" sourceName="RamoAutoCamiónMotoEtc">
  <pivotTables>
    <pivotTable tabId="24" name="TablaDinámica2"/>
  </pivotTables>
  <data>
    <tabular pivotCacheId="306092206">
      <items count="3">
        <i x="0" s="1"/>
        <i x="2" s="1"/>
        <i x="1" s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ubRamo" xr10:uid="{05BFB696-4706-42AB-99EC-E08B9B9E03B2}" sourceName="SubRamo">
  <pivotTables>
    <pivotTable tabId="24" name="TablaDinámica2"/>
  </pivotTables>
  <data>
    <tabular pivotCacheId="306092206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ipo de Flotilla: Empresa / Empleado" xr10:uid="{BC0F5175-2DEC-4655-9D67-8222416DDDA1}" cache="SegmentaciónDeDatos_Tipo_de_Flotilla__Empresa___Empleado" caption="Tipo de Flotilla: Empresa / Empleado" style="SlicerStyleLight4" rowHeight="241300"/>
  <slicer name="EmpresaFilial" xr10:uid="{03042D96-E590-4BA0-8E11-B2449FA58B29}" cache="SegmentaciónDeDatos_EmpresaFilial" caption="EmpresaFilial" style="SlicerStyleLight4" rowHeight="241300"/>
  <slicer name="FormaDePago" xr10:uid="{0D260445-A248-4898-8158-75B67ED34B0F}" cache="SegmentaciónDeDatos_FormaDePago" caption="FormaDePago" style="SlicerStyleLight4" rowHeight="241300"/>
  <slicer name="Grupo" xr10:uid="{6D4C3B4A-EBE4-4A17-B5F1-F3369E853F48}" cache="SegmentaciónDeDatos_Grupo" caption="Grupo" style="SlicerStyleLight4" rowHeight="241300"/>
  <slicer name="RamoAutoCamiónMotoEtc" xr10:uid="{AA739E31-7A51-42F5-B55C-7EEBC8AD8646}" cache="SegmentaciónDeDatos_RamoAutoCamiónMotoEtc" caption="RamoAutoCamiónMotoEtc" style="SlicerStyleLight4" rowHeight="241300"/>
  <slicer name="SubRamo" xr10:uid="{81761295-D42A-432E-8BB0-F59F11FD9B42}" cache="SegmentaciónDeDatos_SubRamo" caption="SubRamo" style="SlicerStyleLight4" rowHeight="241300"/>
</slicer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39E3C-B06E-42EB-BDC7-17FDDE5D931D}">
  <dimension ref="B4:B19"/>
  <sheetViews>
    <sheetView showGridLines="0" zoomScaleNormal="100" workbookViewId="0">
      <selection activeCell="D7" sqref="D7"/>
    </sheetView>
  </sheetViews>
  <sheetFormatPr baseColWidth="10" defaultColWidth="11.42578125" defaultRowHeight="15" x14ac:dyDescent="0.25"/>
  <cols>
    <col min="1" max="1" width="4" customWidth="1"/>
    <col min="2" max="2" width="106.42578125" customWidth="1"/>
  </cols>
  <sheetData>
    <row r="4" spans="2:2" ht="34.5" x14ac:dyDescent="0.25">
      <c r="B4" s="77" t="s">
        <v>36</v>
      </c>
    </row>
    <row r="5" spans="2:2" ht="15" customHeight="1" x14ac:dyDescent="0.25">
      <c r="B5" s="2"/>
    </row>
    <row r="6" spans="2:2" ht="17.25" x14ac:dyDescent="0.25">
      <c r="B6" s="11" t="s">
        <v>3</v>
      </c>
    </row>
    <row r="7" spans="2:2" ht="17.25" customHeight="1" x14ac:dyDescent="0.25">
      <c r="B7" s="12"/>
    </row>
    <row r="8" spans="2:2" x14ac:dyDescent="0.25">
      <c r="B8" s="12"/>
    </row>
    <row r="9" spans="2:2" ht="18" customHeight="1" x14ac:dyDescent="0.25">
      <c r="B9" s="12"/>
    </row>
    <row r="10" spans="2:2" ht="18" customHeight="1" x14ac:dyDescent="0.25">
      <c r="B10" s="12"/>
    </row>
    <row r="11" spans="2:2" ht="21" customHeight="1" x14ac:dyDescent="0.25">
      <c r="B11" s="47"/>
    </row>
    <row r="12" spans="2:2" x14ac:dyDescent="0.25">
      <c r="B12" s="12"/>
    </row>
    <row r="13" spans="2:2" x14ac:dyDescent="0.25">
      <c r="B13" s="12"/>
    </row>
    <row r="14" spans="2:2" ht="20.45" customHeight="1" x14ac:dyDescent="0.25">
      <c r="B14" s="47"/>
    </row>
    <row r="15" spans="2:2" ht="14.45" customHeight="1" x14ac:dyDescent="0.25">
      <c r="B15" s="47"/>
    </row>
    <row r="16" spans="2:2" ht="19.5" customHeight="1" x14ac:dyDescent="0.25">
      <c r="B16" s="47"/>
    </row>
    <row r="17" spans="2:2" ht="18" customHeight="1" x14ac:dyDescent="0.25">
      <c r="B17" s="12"/>
    </row>
    <row r="18" spans="2:2" ht="18" customHeight="1" x14ac:dyDescent="0.25">
      <c r="B18" s="12"/>
    </row>
    <row r="19" spans="2:2" x14ac:dyDescent="0.25">
      <c r="B19" s="12"/>
    </row>
  </sheetData>
  <pageMargins left="0.7" right="0.7" top="0.75" bottom="0.75" header="0.3" footer="0.3"/>
  <pageSetup orientation="portrait" horizontalDpi="90" verticalDpi="9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85010-3856-4E66-B90F-C3848806AB2D}">
  <dimension ref="B1:T47"/>
  <sheetViews>
    <sheetView showGridLines="0" zoomScale="85" zoomScaleNormal="85" workbookViewId="0"/>
  </sheetViews>
  <sheetFormatPr baseColWidth="10" defaultColWidth="11.5703125" defaultRowHeight="15" x14ac:dyDescent="0.25"/>
  <cols>
    <col min="1" max="1" width="3.85546875" customWidth="1"/>
    <col min="2" max="2" width="22.7109375" customWidth="1"/>
    <col min="3" max="3" width="15.5703125" customWidth="1"/>
    <col min="4" max="4" width="0.28515625" customWidth="1"/>
    <col min="5" max="6" width="15.7109375" customWidth="1"/>
    <col min="7" max="7" width="0.5703125" customWidth="1"/>
    <col min="8" max="9" width="15.7109375" customWidth="1"/>
    <col min="10" max="10" width="0.5703125" customWidth="1"/>
    <col min="11" max="12" width="15.7109375" customWidth="1"/>
    <col min="13" max="13" width="0.5703125" customWidth="1"/>
    <col min="14" max="15" width="15.7109375" customWidth="1"/>
    <col min="16" max="16" width="0.5703125" customWidth="1"/>
    <col min="17" max="18" width="15.7109375" customWidth="1"/>
    <col min="19" max="19" width="0.5703125" customWidth="1"/>
  </cols>
  <sheetData>
    <row r="1" spans="2:20" ht="3.6" customHeight="1" x14ac:dyDescent="0.25"/>
    <row r="2" spans="2:20" ht="26.25" customHeight="1" x14ac:dyDescent="0.45">
      <c r="B2" s="78" t="s">
        <v>11</v>
      </c>
      <c r="C2" s="13"/>
      <c r="N2" s="14"/>
      <c r="O2" s="14"/>
      <c r="Q2" s="14"/>
      <c r="R2" s="14"/>
    </row>
    <row r="3" spans="2:20" ht="3.6" customHeight="1" x14ac:dyDescent="0.25"/>
    <row r="4" spans="2:20" ht="21" customHeight="1" x14ac:dyDescent="0.25">
      <c r="B4" s="15" t="s">
        <v>12</v>
      </c>
      <c r="C4" s="117" t="e">
        <f>#REF!</f>
        <v>#REF!</v>
      </c>
      <c r="D4" s="117"/>
      <c r="E4" s="117"/>
      <c r="F4" s="117"/>
      <c r="G4" s="117"/>
      <c r="H4" s="118"/>
      <c r="I4" s="16"/>
      <c r="J4" s="16"/>
      <c r="K4" s="17"/>
      <c r="L4" s="17"/>
      <c r="M4" s="17"/>
      <c r="N4" s="18"/>
      <c r="O4" s="18"/>
      <c r="P4" s="17"/>
      <c r="Q4" s="18"/>
      <c r="R4" s="18"/>
    </row>
    <row r="5" spans="2:20" ht="15" customHeight="1" x14ac:dyDescent="0.25"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P5" s="17"/>
    </row>
    <row r="6" spans="2:20" s="9" customFormat="1" ht="15.6" customHeight="1" x14ac:dyDescent="0.25">
      <c r="B6" s="19"/>
      <c r="C6" s="115" t="s">
        <v>31</v>
      </c>
      <c r="D6" s="119"/>
      <c r="E6" s="119"/>
      <c r="F6" s="116"/>
      <c r="G6" s="17"/>
      <c r="H6" s="115" t="s">
        <v>32</v>
      </c>
      <c r="I6" s="116"/>
      <c r="J6" s="17"/>
      <c r="K6" s="115" t="s">
        <v>35</v>
      </c>
      <c r="L6" s="116"/>
      <c r="M6" s="17"/>
      <c r="N6" s="115" t="s">
        <v>34</v>
      </c>
      <c r="O6" s="116"/>
      <c r="P6" s="17"/>
      <c r="Q6" s="115" t="s">
        <v>33</v>
      </c>
      <c r="R6" s="116"/>
      <c r="S6" s="20"/>
      <c r="T6" s="20"/>
    </row>
    <row r="7" spans="2:20" s="9" customFormat="1" ht="3" customHeight="1" x14ac:dyDescent="0.25">
      <c r="D7" s="17"/>
      <c r="G7" s="17"/>
      <c r="J7" s="17"/>
      <c r="M7" s="17"/>
      <c r="P7" s="17"/>
      <c r="S7" s="17"/>
    </row>
    <row r="8" spans="2:20" s="21" customFormat="1" ht="25.15" customHeight="1" x14ac:dyDescent="0.25">
      <c r="C8" s="22" t="s">
        <v>13</v>
      </c>
      <c r="D8" s="17"/>
      <c r="E8" s="22" t="s">
        <v>9</v>
      </c>
      <c r="F8" s="22" t="s">
        <v>10</v>
      </c>
      <c r="G8" s="17"/>
      <c r="H8" s="22" t="s">
        <v>9</v>
      </c>
      <c r="I8" s="22" t="s">
        <v>10</v>
      </c>
      <c r="J8" s="17"/>
      <c r="K8" s="22" t="s">
        <v>9</v>
      </c>
      <c r="L8" s="22" t="s">
        <v>10</v>
      </c>
      <c r="M8" s="17"/>
      <c r="N8" s="22" t="s">
        <v>9</v>
      </c>
      <c r="O8" s="22" t="s">
        <v>10</v>
      </c>
      <c r="P8" s="17"/>
      <c r="Q8" s="22" t="s">
        <v>9</v>
      </c>
      <c r="R8" s="22" t="s">
        <v>10</v>
      </c>
      <c r="S8" s="17"/>
    </row>
    <row r="9" spans="2:20" ht="4.9000000000000004" customHeight="1" x14ac:dyDescent="0.25">
      <c r="D9" s="17"/>
      <c r="G9" s="17"/>
      <c r="J9" s="17"/>
      <c r="M9" s="17"/>
      <c r="P9" s="17"/>
      <c r="S9" s="17"/>
    </row>
    <row r="10" spans="2:20" x14ac:dyDescent="0.25">
      <c r="B10" s="23" t="s">
        <v>14</v>
      </c>
      <c r="C10" s="24">
        <v>1</v>
      </c>
      <c r="D10" s="17"/>
      <c r="E10" s="25">
        <v>1</v>
      </c>
      <c r="F10" s="25"/>
      <c r="G10" s="17"/>
      <c r="H10" s="26"/>
      <c r="I10" s="25"/>
      <c r="J10" s="17"/>
      <c r="K10" s="26"/>
      <c r="L10" s="25"/>
      <c r="M10" s="17"/>
      <c r="N10" s="26"/>
      <c r="O10" s="25"/>
      <c r="P10" s="17"/>
      <c r="Q10" s="26"/>
      <c r="R10" s="25"/>
      <c r="S10" s="17"/>
    </row>
    <row r="11" spans="2:20" x14ac:dyDescent="0.25">
      <c r="B11" s="27" t="s">
        <v>15</v>
      </c>
      <c r="C11" s="28"/>
      <c r="D11" s="17"/>
      <c r="E11" s="29"/>
      <c r="F11" s="30"/>
      <c r="G11" s="17"/>
      <c r="H11" s="29"/>
      <c r="I11" s="30"/>
      <c r="J11" s="17"/>
      <c r="K11" s="29"/>
      <c r="L11" s="30"/>
      <c r="M11" s="17"/>
      <c r="N11" s="29"/>
      <c r="O11" s="30"/>
      <c r="P11" s="17"/>
      <c r="Q11" s="29"/>
      <c r="R11" s="30"/>
      <c r="S11" s="17"/>
    </row>
    <row r="12" spans="2:20" ht="4.9000000000000004" customHeight="1" x14ac:dyDescent="0.25">
      <c r="B12" s="31"/>
      <c r="C12" s="32"/>
      <c r="D12" s="17"/>
      <c r="E12" s="33"/>
      <c r="F12" s="33"/>
      <c r="G12" s="17"/>
      <c r="H12" s="33"/>
      <c r="I12" s="33"/>
      <c r="J12" s="17"/>
      <c r="K12" s="33"/>
      <c r="L12" s="33"/>
      <c r="M12" s="17"/>
      <c r="N12" s="33"/>
      <c r="O12" s="33"/>
      <c r="P12" s="17"/>
      <c r="Q12" s="33"/>
      <c r="R12" s="33"/>
      <c r="S12" s="17"/>
    </row>
    <row r="13" spans="2:20" s="37" customFormat="1" ht="15.75" x14ac:dyDescent="0.25">
      <c r="B13" s="34" t="s">
        <v>16</v>
      </c>
      <c r="C13" s="35">
        <v>1</v>
      </c>
      <c r="D13" s="17"/>
      <c r="E13" s="36">
        <v>1</v>
      </c>
      <c r="F13" s="36"/>
      <c r="G13" s="17"/>
      <c r="H13" s="36"/>
      <c r="I13" s="36"/>
      <c r="J13" s="17"/>
      <c r="K13" s="36"/>
      <c r="L13" s="36"/>
      <c r="M13" s="17"/>
      <c r="N13" s="36"/>
      <c r="O13" s="36"/>
      <c r="P13" s="17"/>
      <c r="Q13" s="36"/>
      <c r="R13" s="36"/>
      <c r="S13" s="17"/>
    </row>
    <row r="14" spans="2:20" x14ac:dyDescent="0.25">
      <c r="B14" s="38" t="s">
        <v>17</v>
      </c>
      <c r="C14" s="39">
        <f>C11*C10</f>
        <v>0</v>
      </c>
      <c r="D14" s="17"/>
      <c r="E14" s="39">
        <f>E11*E10</f>
        <v>0</v>
      </c>
      <c r="F14" s="39">
        <f>F11*F10</f>
        <v>0</v>
      </c>
      <c r="G14" s="17"/>
      <c r="H14" s="39">
        <f>H11*H10</f>
        <v>0</v>
      </c>
      <c r="I14" s="39">
        <f>I11*I10</f>
        <v>0</v>
      </c>
      <c r="J14" s="17"/>
      <c r="K14" s="39">
        <f>K11*K10</f>
        <v>0</v>
      </c>
      <c r="L14" s="39">
        <f>L11*L10</f>
        <v>0</v>
      </c>
      <c r="M14" s="17"/>
      <c r="N14" s="39">
        <f>N11*N10</f>
        <v>0</v>
      </c>
      <c r="O14" s="39">
        <f>O11*O10</f>
        <v>0</v>
      </c>
      <c r="P14" s="17"/>
      <c r="Q14" s="39">
        <f>Q11*Q10</f>
        <v>0</v>
      </c>
      <c r="R14" s="39">
        <f>R11*R10</f>
        <v>0</v>
      </c>
      <c r="S14" s="17"/>
    </row>
    <row r="15" spans="2:20" ht="30" x14ac:dyDescent="0.25">
      <c r="B15" s="38" t="s">
        <v>52</v>
      </c>
      <c r="C15" s="39" t="e">
        <f>C13*C28</f>
        <v>#VALUE!</v>
      </c>
      <c r="D15" s="17"/>
      <c r="E15" s="39" t="e">
        <f>E13*E28</f>
        <v>#VALUE!</v>
      </c>
      <c r="F15" s="39" t="e">
        <f>F13*E28</f>
        <v>#VALUE!</v>
      </c>
      <c r="G15" s="17"/>
      <c r="H15" s="39" t="e">
        <f>H13*H28</f>
        <v>#VALUE!</v>
      </c>
      <c r="I15" s="39" t="e">
        <f>I13*H28</f>
        <v>#VALUE!</v>
      </c>
      <c r="J15" s="17"/>
      <c r="K15" s="39" t="e">
        <f>K13*K28</f>
        <v>#VALUE!</v>
      </c>
      <c r="L15" s="39" t="e">
        <f>L13*K28</f>
        <v>#VALUE!</v>
      </c>
      <c r="M15" s="17"/>
      <c r="N15" s="39" t="e">
        <f>N13*N28</f>
        <v>#VALUE!</v>
      </c>
      <c r="O15" s="39" t="e">
        <f>O13*N28</f>
        <v>#VALUE!</v>
      </c>
      <c r="P15" s="17"/>
      <c r="Q15" s="39" t="e">
        <f>Q13*Q28</f>
        <v>#VALUE!</v>
      </c>
      <c r="R15" s="39" t="e">
        <f>R13*Q28</f>
        <v>#VALUE!</v>
      </c>
      <c r="S15" s="17"/>
    </row>
    <row r="16" spans="2:20" x14ac:dyDescent="0.25">
      <c r="B16" s="38" t="s">
        <v>18</v>
      </c>
      <c r="C16" s="39" t="e">
        <f>SUM(C13:C15)*0.16</f>
        <v>#VALUE!</v>
      </c>
      <c r="D16" s="17"/>
      <c r="E16" s="39" t="e">
        <f>SUM(E13:E15)*0.16</f>
        <v>#VALUE!</v>
      </c>
      <c r="F16" s="39" t="e">
        <f>SUM(F13:F15)*0.16</f>
        <v>#VALUE!</v>
      </c>
      <c r="G16" s="17"/>
      <c r="H16" s="39" t="e">
        <f>SUM(H13:H15)*0.16</f>
        <v>#VALUE!</v>
      </c>
      <c r="I16" s="39" t="e">
        <f>SUM(I13:I15)*0.16</f>
        <v>#VALUE!</v>
      </c>
      <c r="J16" s="17"/>
      <c r="K16" s="39" t="e">
        <f>SUM(K13:K15)*0.16</f>
        <v>#VALUE!</v>
      </c>
      <c r="L16" s="39" t="e">
        <f>SUM(L13:L15)*0.16</f>
        <v>#VALUE!</v>
      </c>
      <c r="M16" s="17"/>
      <c r="N16" s="39" t="e">
        <f>SUM(N13:N15)*0.16</f>
        <v>#VALUE!</v>
      </c>
      <c r="O16" s="39" t="e">
        <f>SUM(O13:O15)*0.16</f>
        <v>#VALUE!</v>
      </c>
      <c r="P16" s="17"/>
      <c r="Q16" s="39" t="e">
        <f>SUM(Q13:Q15)*0.16</f>
        <v>#VALUE!</v>
      </c>
      <c r="R16" s="39" t="e">
        <f>SUM(R13:R15)*0.16</f>
        <v>#VALUE!</v>
      </c>
      <c r="S16" s="17"/>
    </row>
    <row r="17" spans="2:19" s="37" customFormat="1" ht="15.75" x14ac:dyDescent="0.25">
      <c r="B17" s="34" t="s">
        <v>19</v>
      </c>
      <c r="C17" s="35" t="e">
        <f>SUM(C13:C16)</f>
        <v>#VALUE!</v>
      </c>
      <c r="D17" s="17"/>
      <c r="E17" s="36" t="e">
        <f>SUM(E13:E16)</f>
        <v>#VALUE!</v>
      </c>
      <c r="F17" s="36" t="e">
        <f>SUM(F13:F16)</f>
        <v>#VALUE!</v>
      </c>
      <c r="G17" s="17"/>
      <c r="H17" s="36" t="e">
        <f>SUM(H13:H16)</f>
        <v>#VALUE!</v>
      </c>
      <c r="I17" s="36" t="e">
        <f>SUM(I13:I16)</f>
        <v>#VALUE!</v>
      </c>
      <c r="J17" s="17"/>
      <c r="K17" s="36" t="e">
        <f>SUM(K13:K16)</f>
        <v>#VALUE!</v>
      </c>
      <c r="L17" s="36" t="e">
        <f>SUM(L13:L16)</f>
        <v>#VALUE!</v>
      </c>
      <c r="M17" s="17"/>
      <c r="N17" s="36" t="e">
        <f>SUM(N13:N16)</f>
        <v>#VALUE!</v>
      </c>
      <c r="O17" s="36" t="e">
        <f>SUM(O13:O16)</f>
        <v>#VALUE!</v>
      </c>
      <c r="P17" s="17"/>
      <c r="Q17" s="36" t="e">
        <f>SUM(Q13:Q16)</f>
        <v>#VALUE!</v>
      </c>
      <c r="R17" s="36" t="e">
        <f>SUM(R13:R16)</f>
        <v>#VALUE!</v>
      </c>
      <c r="S17" s="17"/>
    </row>
    <row r="18" spans="2:19" ht="4.9000000000000004" customHeight="1" x14ac:dyDescent="0.25">
      <c r="B18" s="31"/>
      <c r="C18" s="40"/>
      <c r="D18" s="17"/>
      <c r="E18" s="33"/>
      <c r="F18" s="33"/>
      <c r="G18" s="17"/>
      <c r="H18" s="33"/>
      <c r="I18" s="33"/>
      <c r="J18" s="17"/>
      <c r="K18" s="33"/>
      <c r="L18" s="33"/>
      <c r="M18" s="17"/>
      <c r="N18" s="33"/>
      <c r="O18" s="33"/>
      <c r="P18" s="17"/>
      <c r="Q18" s="33"/>
      <c r="R18" s="33"/>
      <c r="S18" s="17"/>
    </row>
    <row r="19" spans="2:19" ht="15.75" x14ac:dyDescent="0.25">
      <c r="B19" s="41" t="s">
        <v>20</v>
      </c>
      <c r="C19" s="35">
        <f>C13/C10</f>
        <v>1</v>
      </c>
      <c r="D19" s="17"/>
      <c r="E19" s="36">
        <f>IFERROR(E13/E10,0)</f>
        <v>1</v>
      </c>
      <c r="F19" s="36">
        <f>IFERROR(F13/F10,0)</f>
        <v>0</v>
      </c>
      <c r="G19" s="17"/>
      <c r="H19" s="36">
        <f>IFERROR(H13/H10,0)</f>
        <v>0</v>
      </c>
      <c r="I19" s="36">
        <f>IFERROR(I13/I10,0)</f>
        <v>0</v>
      </c>
      <c r="J19" s="17"/>
      <c r="K19" s="36">
        <f t="shared" ref="K19:L19" si="0">IFERROR(K13/K10,0)</f>
        <v>0</v>
      </c>
      <c r="L19" s="36">
        <f t="shared" si="0"/>
        <v>0</v>
      </c>
      <c r="M19" s="17"/>
      <c r="N19" s="36">
        <f t="shared" ref="N19:O19" si="1">IFERROR(N13/N10,0)</f>
        <v>0</v>
      </c>
      <c r="O19" s="36">
        <f t="shared" si="1"/>
        <v>0</v>
      </c>
      <c r="P19" s="17"/>
      <c r="Q19" s="36">
        <f t="shared" ref="Q19:R19" si="2">IFERROR(Q13/Q10,0)</f>
        <v>0</v>
      </c>
      <c r="R19" s="36">
        <f t="shared" si="2"/>
        <v>0</v>
      </c>
      <c r="S19" s="17"/>
    </row>
    <row r="20" spans="2:19" ht="30" x14ac:dyDescent="0.25">
      <c r="B20" s="41" t="s">
        <v>21</v>
      </c>
      <c r="C20" s="35" t="e">
        <f>C17/C10</f>
        <v>#VALUE!</v>
      </c>
      <c r="D20" s="17"/>
      <c r="E20" s="36">
        <f>IFERROR(E17/E10,0)</f>
        <v>0</v>
      </c>
      <c r="F20" s="36">
        <f>IFERROR(F17/F10,0)</f>
        <v>0</v>
      </c>
      <c r="G20" s="17"/>
      <c r="H20" s="36">
        <f>IFERROR(H17/H10,0)</f>
        <v>0</v>
      </c>
      <c r="I20" s="36">
        <f>IFERROR(I17/I10,0)</f>
        <v>0</v>
      </c>
      <c r="J20" s="17"/>
      <c r="K20" s="36">
        <f t="shared" ref="K20:L20" si="3">IFERROR(K17/K10,0)</f>
        <v>0</v>
      </c>
      <c r="L20" s="36">
        <f t="shared" si="3"/>
        <v>0</v>
      </c>
      <c r="M20" s="17"/>
      <c r="N20" s="36">
        <f t="shared" ref="N20:O20" si="4">IFERROR(N17/N10,0)</f>
        <v>0</v>
      </c>
      <c r="O20" s="36">
        <f t="shared" si="4"/>
        <v>0</v>
      </c>
      <c r="P20" s="17"/>
      <c r="Q20" s="36">
        <f t="shared" ref="Q20:R20" si="5">IFERROR(Q17/Q10,0)</f>
        <v>0</v>
      </c>
      <c r="R20" s="36">
        <f t="shared" si="5"/>
        <v>0</v>
      </c>
      <c r="S20" s="17"/>
    </row>
    <row r="21" spans="2:19" ht="4.9000000000000004" customHeight="1" x14ac:dyDescent="0.25">
      <c r="B21" s="31"/>
      <c r="C21" s="42"/>
      <c r="D21" s="17"/>
      <c r="E21" s="33"/>
      <c r="F21" s="33"/>
      <c r="G21" s="17"/>
      <c r="H21" s="33"/>
      <c r="I21" s="33"/>
      <c r="J21" s="17"/>
      <c r="K21" s="33"/>
      <c r="L21" s="33"/>
      <c r="M21" s="17"/>
      <c r="N21" s="33"/>
      <c r="O21" s="33"/>
      <c r="P21" s="17"/>
      <c r="Q21" s="33"/>
      <c r="R21" s="33"/>
      <c r="S21" s="17"/>
    </row>
    <row r="22" spans="2:19" ht="19.899999999999999" customHeight="1" x14ac:dyDescent="0.25">
      <c r="B22" s="114" t="s">
        <v>22</v>
      </c>
      <c r="C22" s="114"/>
      <c r="D22" s="17"/>
      <c r="E22" s="43">
        <f>E19/$C$19-1</f>
        <v>0</v>
      </c>
      <c r="F22" s="43">
        <f>F19/$C$19-1</f>
        <v>-1</v>
      </c>
      <c r="G22" s="17"/>
      <c r="H22" s="43">
        <f>H19/$C$19-1</f>
        <v>-1</v>
      </c>
      <c r="I22" s="43">
        <f>I19/$C$19-1</f>
        <v>-1</v>
      </c>
      <c r="J22" s="17"/>
      <c r="K22" s="43">
        <f>K19/$C$19-1</f>
        <v>-1</v>
      </c>
      <c r="L22" s="43">
        <f>L19/$C$19-1</f>
        <v>-1</v>
      </c>
      <c r="M22" s="17"/>
      <c r="N22" s="43">
        <f>N19/$C$19-1</f>
        <v>-1</v>
      </c>
      <c r="O22" s="43">
        <f>O19/$C$19-1</f>
        <v>-1</v>
      </c>
      <c r="P22" s="17"/>
      <c r="Q22" s="43">
        <f>Q19/$C$19-1</f>
        <v>-1</v>
      </c>
      <c r="R22" s="43">
        <f>R19/$C$19-1</f>
        <v>-1</v>
      </c>
      <c r="S22" s="17"/>
    </row>
    <row r="23" spans="2:19" ht="19.899999999999999" customHeight="1" x14ac:dyDescent="0.25">
      <c r="B23" s="114" t="s">
        <v>23</v>
      </c>
      <c r="C23" s="114"/>
      <c r="D23" s="17"/>
      <c r="E23" s="43" t="e">
        <f>E20/$C$20-1</f>
        <v>#VALUE!</v>
      </c>
      <c r="F23" s="43" t="e">
        <f>F20/$C$20-1</f>
        <v>#VALUE!</v>
      </c>
      <c r="G23" s="17"/>
      <c r="H23" s="43" t="e">
        <f>H20/$C$20-1</f>
        <v>#VALUE!</v>
      </c>
      <c r="I23" s="43" t="e">
        <f>I20/$C$20-1</f>
        <v>#VALUE!</v>
      </c>
      <c r="J23" s="17"/>
      <c r="K23" s="43" t="e">
        <f>K20/$C$20-1</f>
        <v>#VALUE!</v>
      </c>
      <c r="L23" s="43" t="e">
        <f>L20/$C$20-1</f>
        <v>#VALUE!</v>
      </c>
      <c r="M23" s="17"/>
      <c r="N23" s="43" t="e">
        <f>N20/$C$20-1</f>
        <v>#VALUE!</v>
      </c>
      <c r="O23" s="43" t="e">
        <f>O20/$C$20-1</f>
        <v>#VALUE!</v>
      </c>
      <c r="P23" s="17"/>
      <c r="Q23" s="43" t="e">
        <f>Q20/$C$20-1</f>
        <v>#VALUE!</v>
      </c>
      <c r="R23" s="43" t="e">
        <f>R20/$C$20-1</f>
        <v>#VALUE!</v>
      </c>
      <c r="S23" s="17"/>
    </row>
    <row r="24" spans="2:19" ht="4.9000000000000004" customHeight="1" x14ac:dyDescent="0.25">
      <c r="B24" s="42"/>
      <c r="C24" s="31"/>
      <c r="D24" s="17"/>
      <c r="E24" s="33"/>
      <c r="F24" s="33"/>
      <c r="G24" s="17"/>
      <c r="H24" s="33"/>
      <c r="I24" s="33"/>
      <c r="J24" s="17"/>
      <c r="K24" s="33"/>
      <c r="L24" s="33"/>
      <c r="M24" s="17"/>
      <c r="N24" s="33"/>
      <c r="O24" s="33"/>
      <c r="P24" s="17"/>
      <c r="Q24" s="33"/>
      <c r="R24" s="33"/>
      <c r="S24" s="17"/>
    </row>
    <row r="25" spans="2:19" s="3" customFormat="1" ht="45" x14ac:dyDescent="0.25">
      <c r="B25" s="51" t="s">
        <v>24</v>
      </c>
      <c r="C25" s="5"/>
      <c r="D25" s="17"/>
      <c r="E25" s="7"/>
      <c r="F25" s="7"/>
      <c r="G25" s="17"/>
      <c r="H25" s="7"/>
      <c r="I25" s="7"/>
      <c r="J25" s="17"/>
      <c r="K25" s="7"/>
      <c r="L25" s="7"/>
      <c r="M25" s="17"/>
      <c r="N25" s="7"/>
      <c r="O25" s="7"/>
      <c r="P25" s="17"/>
      <c r="Q25" s="7"/>
      <c r="R25" s="7"/>
      <c r="S25" s="17"/>
    </row>
    <row r="26" spans="2:19" ht="3" customHeight="1" x14ac:dyDescent="0.25">
      <c r="B26" s="57"/>
      <c r="C26" s="58">
        <v>2</v>
      </c>
      <c r="D26" s="59">
        <v>1</v>
      </c>
      <c r="E26" s="60">
        <v>1</v>
      </c>
      <c r="F26" s="60">
        <v>1</v>
      </c>
      <c r="G26" s="59">
        <v>1</v>
      </c>
      <c r="H26" s="60">
        <v>1</v>
      </c>
      <c r="I26" s="60">
        <v>1</v>
      </c>
      <c r="J26" s="59">
        <v>1</v>
      </c>
      <c r="K26" s="60">
        <v>1</v>
      </c>
      <c r="L26" s="60">
        <v>1</v>
      </c>
      <c r="M26" s="59">
        <v>1</v>
      </c>
      <c r="N26" s="60">
        <v>1</v>
      </c>
      <c r="O26" s="60">
        <v>1</v>
      </c>
      <c r="P26" s="59">
        <v>1</v>
      </c>
      <c r="Q26" s="60">
        <v>1</v>
      </c>
      <c r="R26" s="60">
        <v>1</v>
      </c>
      <c r="S26" s="17"/>
    </row>
    <row r="27" spans="2:19" ht="17.25" customHeight="1" x14ac:dyDescent="0.25">
      <c r="B27" s="112" t="s">
        <v>25</v>
      </c>
      <c r="C27" s="113"/>
      <c r="D27" s="17"/>
      <c r="E27" s="33"/>
      <c r="F27" s="33"/>
      <c r="G27" s="17"/>
      <c r="H27" s="33"/>
      <c r="I27" s="33"/>
      <c r="J27" s="17"/>
      <c r="K27" s="33"/>
      <c r="L27" s="33"/>
      <c r="M27" s="17"/>
      <c r="N27" s="33"/>
      <c r="O27" s="33"/>
      <c r="P27" s="17"/>
      <c r="Q27" s="33"/>
      <c r="R27" s="33"/>
      <c r="S27" s="17"/>
    </row>
    <row r="28" spans="2:19" x14ac:dyDescent="0.25">
      <c r="B28" s="51" t="s">
        <v>26</v>
      </c>
      <c r="C28" s="72" t="str">
        <f>IF(AND($B$28&lt;&gt;$B$29,$B$28&lt;&gt;$B$30,$B$28&lt;&gt;$B$31),0%,VLOOKUP($B28,$B$29:$C$31,2,0))</f>
        <v/>
      </c>
      <c r="D28" s="45"/>
      <c r="E28" s="108" t="str">
        <f>IF(AND($B$28&lt;&gt;$B$29,$B$28&lt;&gt;$B$30,$B$28&lt;&gt;$B$31),0%,VLOOKUP($B28,$B$29:$R$31,SUM($C$26:E26),0))</f>
        <v/>
      </c>
      <c r="F28" s="109"/>
      <c r="G28" s="45"/>
      <c r="H28" s="108" t="str">
        <f>IF(AND($B$28&lt;&gt;$B$29,$B$28&lt;&gt;$B$30,$B$28&lt;&gt;$B$31),0%,VLOOKUP($B28,$B$29:$R$31,SUM($C$26:H26),0))</f>
        <v/>
      </c>
      <c r="I28" s="109"/>
      <c r="J28" s="45"/>
      <c r="K28" s="108" t="str">
        <f>IF(AND($B$28&lt;&gt;$B$29,$B$28&lt;&gt;$B$30,$B$28&lt;&gt;$B$31),0%,VLOOKUP($B28,$B$29:$R$31,SUM($C$26:K26),0))</f>
        <v/>
      </c>
      <c r="L28" s="109"/>
      <c r="M28" s="45"/>
      <c r="N28" s="108" t="str">
        <f>IF(AND($B$28&lt;&gt;$B$29,$B$28&lt;&gt;$B$30,$B$28&lt;&gt;$B$31),0%,VLOOKUP($B28,$B$29:$R$31,SUM($C$26:N26),0))</f>
        <v/>
      </c>
      <c r="O28" s="109"/>
      <c r="P28" s="45"/>
      <c r="Q28" s="108" t="str">
        <f>IF(AND($B$28&lt;&gt;$B$29,$B$28&lt;&gt;$B$30,$B$28&lt;&gt;$B$31),0%,VLOOKUP($B28,$B$29:$R$31,SUM($C$26:Q26),0))</f>
        <v/>
      </c>
      <c r="R28" s="109"/>
      <c r="S28" s="17"/>
    </row>
    <row r="29" spans="2:19" x14ac:dyDescent="0.25">
      <c r="B29" s="41" t="s">
        <v>26</v>
      </c>
      <c r="C29" s="44" t="str">
        <f>IFERROR(VLOOKUP(C$6,#REF!,#REF!,0),"")</f>
        <v/>
      </c>
      <c r="D29" s="45"/>
      <c r="E29" s="110" t="str">
        <f>IFERROR(VLOOKUP(C$6,#REF!,#REF!,0),"")</f>
        <v/>
      </c>
      <c r="F29" s="111"/>
      <c r="G29" s="45"/>
      <c r="H29" s="110" t="str">
        <f>IFERROR(VLOOKUP(H$6,#REF!,#REF!,0),"")</f>
        <v/>
      </c>
      <c r="I29" s="111"/>
      <c r="J29" s="45"/>
      <c r="K29" s="110" t="str">
        <f>IFERROR(VLOOKUP(K$6,#REF!,#REF!,0),"")</f>
        <v/>
      </c>
      <c r="L29" s="111"/>
      <c r="M29" s="45"/>
      <c r="N29" s="110" t="str">
        <f>IFERROR(VLOOKUP(N$6,#REF!,#REF!,0),"")</f>
        <v/>
      </c>
      <c r="O29" s="111"/>
      <c r="P29" s="45"/>
      <c r="Q29" s="110" t="str">
        <f>IFERROR(VLOOKUP(Q$6,#REF!,#REF!,0),"")</f>
        <v/>
      </c>
      <c r="R29" s="111"/>
      <c r="S29" s="17"/>
    </row>
    <row r="30" spans="2:19" ht="14.45" customHeight="1" x14ac:dyDescent="0.25">
      <c r="B30" s="41" t="s">
        <v>27</v>
      </c>
      <c r="C30" s="44" t="str">
        <f>IFERROR(VLOOKUP(C$6,#REF!,#REF!,0),"")</f>
        <v/>
      </c>
      <c r="D30" s="45"/>
      <c r="E30" s="110" t="str">
        <f>IFERROR(VLOOKUP(C$6,#REF!,#REF!,0),"")</f>
        <v/>
      </c>
      <c r="F30" s="111" t="str">
        <f>IFERROR(VLOOKUP(F$6,#REF!,#REF!,0),"")</f>
        <v/>
      </c>
      <c r="G30" s="45"/>
      <c r="H30" s="110" t="str">
        <f>IFERROR(VLOOKUP(H$6,#REF!,#REF!,0),"")</f>
        <v/>
      </c>
      <c r="I30" s="111" t="str">
        <f>IFERROR(VLOOKUP(I$6,#REF!,#REF!,0),"")</f>
        <v/>
      </c>
      <c r="J30" s="45"/>
      <c r="K30" s="110" t="str">
        <f>IFERROR(VLOOKUP(K$6,#REF!,#REF!,0),"")</f>
        <v/>
      </c>
      <c r="L30" s="111" t="str">
        <f>IFERROR(VLOOKUP(L$6,#REF!,#REF!,0),"")</f>
        <v/>
      </c>
      <c r="M30" s="45"/>
      <c r="N30" s="110" t="str">
        <f>IFERROR(VLOOKUP(N$6,#REF!,#REF!,0),"")</f>
        <v/>
      </c>
      <c r="O30" s="111" t="str">
        <f>IFERROR(VLOOKUP(O$6,#REF!,#REF!,0),"")</f>
        <v/>
      </c>
      <c r="P30" s="45"/>
      <c r="Q30" s="110" t="str">
        <f>IFERROR(VLOOKUP(Q$6,#REF!,#REF!,0),"")</f>
        <v/>
      </c>
      <c r="R30" s="111" t="str">
        <f>IFERROR(VLOOKUP(R$6,#REF!,#REF!,0),"")</f>
        <v/>
      </c>
      <c r="S30" s="17"/>
    </row>
    <row r="31" spans="2:19" ht="15" customHeight="1" x14ac:dyDescent="0.25">
      <c r="B31" s="41" t="s">
        <v>28</v>
      </c>
      <c r="C31" s="44" t="str">
        <f>IFERROR(VLOOKUP(C$6,#REF!,#REF!,0),"")</f>
        <v/>
      </c>
      <c r="D31" s="45"/>
      <c r="E31" s="110" t="str">
        <f>IFERROR(VLOOKUP(C$6,#REF!,#REF!,0),"")</f>
        <v/>
      </c>
      <c r="F31" s="111" t="str">
        <f>IFERROR(VLOOKUP(F$6,#REF!,#REF!,0),"")</f>
        <v/>
      </c>
      <c r="G31" s="45"/>
      <c r="H31" s="110" t="str">
        <f>IFERROR(VLOOKUP(H$6,#REF!,#REF!,0),"")</f>
        <v/>
      </c>
      <c r="I31" s="111" t="str">
        <f>IFERROR(VLOOKUP(I$6,#REF!,#REF!,0),"")</f>
        <v/>
      </c>
      <c r="J31" s="45"/>
      <c r="K31" s="110" t="str">
        <f>IFERROR(VLOOKUP(K$6,#REF!,#REF!,0),"")</f>
        <v/>
      </c>
      <c r="L31" s="111" t="str">
        <f>IFERROR(VLOOKUP(L$6,#REF!,#REF!,0),"")</f>
        <v/>
      </c>
      <c r="M31" s="45"/>
      <c r="N31" s="110" t="str">
        <f>IFERROR(VLOOKUP(N$6,#REF!,#REF!,0),"")</f>
        <v/>
      </c>
      <c r="O31" s="111" t="str">
        <f>IFERROR(VLOOKUP(O$6,#REF!,#REF!,0),"")</f>
        <v/>
      </c>
      <c r="P31" s="45"/>
      <c r="Q31" s="110" t="str">
        <f>IFERROR(VLOOKUP(Q$6,#REF!,#REF!,0),"")</f>
        <v/>
      </c>
      <c r="R31" s="111" t="str">
        <f>IFERROR(VLOOKUP(R$6,#REF!,#REF!,0),"")</f>
        <v/>
      </c>
      <c r="S31" s="17"/>
    </row>
    <row r="32" spans="2:19" ht="6" customHeight="1" x14ac:dyDescent="0.25">
      <c r="B32" s="31"/>
      <c r="C32" s="42"/>
      <c r="D32" s="17"/>
      <c r="E32" s="33"/>
      <c r="F32" s="33"/>
      <c r="G32" s="17"/>
      <c r="H32" s="33"/>
      <c r="I32" s="33"/>
      <c r="J32" s="17"/>
      <c r="K32" s="33"/>
      <c r="L32" s="33"/>
      <c r="M32" s="17"/>
      <c r="N32" s="33"/>
      <c r="O32" s="33"/>
      <c r="P32" s="17"/>
      <c r="Q32" s="33"/>
      <c r="R32" s="33"/>
      <c r="S32" s="6"/>
    </row>
    <row r="33" spans="2:19" x14ac:dyDescent="0.25">
      <c r="B33" s="46" t="s">
        <v>29</v>
      </c>
      <c r="D33" s="17"/>
      <c r="G33" s="17"/>
      <c r="J33" s="17"/>
      <c r="M33" s="17"/>
      <c r="P33" s="17"/>
    </row>
    <row r="34" spans="2:19" x14ac:dyDescent="0.25">
      <c r="B34" s="10" t="s">
        <v>30</v>
      </c>
      <c r="D34" s="17"/>
      <c r="G34" s="17"/>
      <c r="J34" s="17"/>
      <c r="M34" s="17"/>
      <c r="P34" s="17"/>
    </row>
    <row r="35" spans="2:19" x14ac:dyDescent="0.25">
      <c r="D35" s="17"/>
      <c r="G35" s="17"/>
      <c r="J35" s="17"/>
      <c r="M35" s="17"/>
      <c r="P35" s="17"/>
    </row>
    <row r="37" spans="2:19" x14ac:dyDescent="0.25">
      <c r="B37" s="51" t="s">
        <v>53</v>
      </c>
      <c r="C37" s="64" t="str">
        <f>C38&amp;"% y "&amp;C39&amp;"%"</f>
        <v>15% y 13%</v>
      </c>
      <c r="D37" s="45"/>
      <c r="E37" s="52" t="str">
        <f t="shared" ref="E37:F37" si="6">E38&amp;"% y "&amp;E39&amp;"%"</f>
        <v>15% y 13%</v>
      </c>
      <c r="F37" s="52" t="str">
        <f t="shared" si="6"/>
        <v>% y %</v>
      </c>
      <c r="G37" s="45"/>
      <c r="H37" s="52" t="str">
        <f t="shared" ref="H37" si="7">H38&amp;"% y "&amp;H39&amp;"%"</f>
        <v>% y %</v>
      </c>
      <c r="I37" s="52" t="str">
        <f t="shared" ref="I37" si="8">I38&amp;"% y "&amp;I39&amp;"%"</f>
        <v>% y %</v>
      </c>
      <c r="J37" s="45"/>
      <c r="K37" s="52" t="str">
        <f t="shared" ref="K37" si="9">K38&amp;"% y "&amp;K39&amp;"%"</f>
        <v>% y %</v>
      </c>
      <c r="L37" s="52" t="str">
        <f t="shared" ref="L37" si="10">L38&amp;"% y "&amp;L39&amp;"%"</f>
        <v>% y %</v>
      </c>
      <c r="M37" s="45"/>
      <c r="N37" s="52" t="str">
        <f t="shared" ref="N37" si="11">N38&amp;"% y "&amp;N39&amp;"%"</f>
        <v>% y %</v>
      </c>
      <c r="O37" s="52" t="str">
        <f t="shared" ref="O37" si="12">O38&amp;"% y "&amp;O39&amp;"%"</f>
        <v>% y %</v>
      </c>
      <c r="P37" s="45"/>
      <c r="Q37" s="52" t="str">
        <f t="shared" ref="Q37" si="13">Q38&amp;"% y "&amp;Q39&amp;"%"</f>
        <v>% y %</v>
      </c>
      <c r="R37" s="52" t="str">
        <f t="shared" ref="R37" si="14">R38&amp;"% y "&amp;R39&amp;"%"</f>
        <v>% y %</v>
      </c>
      <c r="S37" s="45"/>
    </row>
    <row r="38" spans="2:19" x14ac:dyDescent="0.25">
      <c r="B38" s="41" t="s">
        <v>74</v>
      </c>
      <c r="C38" s="75">
        <v>15</v>
      </c>
      <c r="D38" s="45"/>
      <c r="E38" s="74">
        <v>15</v>
      </c>
      <c r="F38" s="74"/>
      <c r="G38" s="45"/>
      <c r="H38" s="74"/>
      <c r="I38" s="74"/>
      <c r="J38" s="45"/>
      <c r="K38" s="74"/>
      <c r="L38" s="74"/>
      <c r="M38" s="45"/>
      <c r="N38" s="74"/>
      <c r="O38" s="74"/>
      <c r="P38" s="45"/>
      <c r="Q38" s="74"/>
      <c r="R38" s="74"/>
      <c r="S38" s="45"/>
    </row>
    <row r="39" spans="2:19" ht="30" x14ac:dyDescent="0.25">
      <c r="B39" s="41" t="s">
        <v>75</v>
      </c>
      <c r="C39" s="75">
        <v>13</v>
      </c>
      <c r="D39" s="45"/>
      <c r="E39" s="74">
        <v>13</v>
      </c>
      <c r="F39" s="74"/>
      <c r="G39" s="45"/>
      <c r="H39" s="74"/>
      <c r="I39" s="74"/>
      <c r="J39" s="45"/>
      <c r="K39" s="74"/>
      <c r="L39" s="74"/>
      <c r="M39" s="45"/>
      <c r="N39" s="74"/>
      <c r="O39" s="74"/>
      <c r="P39" s="45"/>
      <c r="Q39" s="74"/>
      <c r="R39" s="74"/>
      <c r="S39" s="45"/>
    </row>
    <row r="40" spans="2:19" x14ac:dyDescent="0.25">
      <c r="B40" s="41" t="s">
        <v>78</v>
      </c>
      <c r="C40" s="75">
        <v>15</v>
      </c>
      <c r="D40" s="45"/>
      <c r="E40" s="74">
        <v>13</v>
      </c>
      <c r="F40" s="74"/>
      <c r="G40" s="45"/>
      <c r="H40" s="74"/>
      <c r="I40" s="74"/>
      <c r="J40" s="45"/>
      <c r="K40" s="74"/>
      <c r="L40" s="74"/>
      <c r="M40" s="45"/>
      <c r="N40" s="74"/>
      <c r="O40" s="74"/>
      <c r="P40" s="45"/>
      <c r="Q40" s="74"/>
      <c r="R40" s="74"/>
      <c r="S40" s="45"/>
    </row>
    <row r="41" spans="2:19" x14ac:dyDescent="0.25">
      <c r="B41" s="51" t="s">
        <v>54</v>
      </c>
      <c r="C41" s="53" t="e">
        <f>SUM(C42:C44)</f>
        <v>#REF!</v>
      </c>
      <c r="D41" s="54"/>
      <c r="E41" s="55" t="e">
        <f>SUM(E42:E44)</f>
        <v>#REF!</v>
      </c>
      <c r="F41" s="55" t="e">
        <f t="shared" ref="F41" si="15">SUM(F42:F44)</f>
        <v>#REF!</v>
      </c>
      <c r="G41" s="54"/>
      <c r="H41" s="55" t="e">
        <f t="shared" ref="H41" si="16">SUM(H42:H44)</f>
        <v>#REF!</v>
      </c>
      <c r="I41" s="55" t="e">
        <f t="shared" ref="I41" si="17">SUM(I42:I44)</f>
        <v>#REF!</v>
      </c>
      <c r="J41" s="54"/>
      <c r="K41" s="55" t="e">
        <f t="shared" ref="K41" si="18">SUM(K42:K44)</f>
        <v>#REF!</v>
      </c>
      <c r="L41" s="55" t="e">
        <f t="shared" ref="L41" si="19">SUM(L42:L44)</f>
        <v>#REF!</v>
      </c>
      <c r="M41" s="54"/>
      <c r="N41" s="55" t="e">
        <f t="shared" ref="N41" si="20">SUM(N42:N44)</f>
        <v>#REF!</v>
      </c>
      <c r="O41" s="55" t="e">
        <f t="shared" ref="O41" si="21">SUM(O42:O44)</f>
        <v>#REF!</v>
      </c>
      <c r="P41" s="54"/>
      <c r="Q41" s="55" t="e">
        <f t="shared" ref="Q41" si="22">SUM(Q42:Q44)</f>
        <v>#REF!</v>
      </c>
      <c r="R41" s="55" t="e">
        <f t="shared" ref="R41" si="23">SUM(R42:R44)</f>
        <v>#REF!</v>
      </c>
      <c r="S41" s="54"/>
    </row>
    <row r="42" spans="2:19" x14ac:dyDescent="0.25">
      <c r="B42" s="41" t="s">
        <v>76</v>
      </c>
      <c r="C42" s="55" t="e">
        <f>SUMIFS(#REF!,#REF!,"Automovil")*C38%</f>
        <v>#REF!</v>
      </c>
      <c r="D42" s="54"/>
      <c r="E42" s="73" t="e">
        <f>SUMIFS(#REF!,#REF!,"Automovil")*E38%</f>
        <v>#REF!</v>
      </c>
      <c r="F42" s="73" t="e">
        <f>SUMIFS(#REF!,#REF!,"Automovil")*D38%</f>
        <v>#REF!</v>
      </c>
      <c r="G42" s="54"/>
      <c r="H42" s="73" t="e">
        <f>SUMIFS(#REF!,#REF!,"Automovil")*F38%</f>
        <v>#REF!</v>
      </c>
      <c r="I42" s="73" t="e">
        <f>SUMIFS(#REF!,#REF!,"Automovil")*G38%</f>
        <v>#REF!</v>
      </c>
      <c r="J42" s="54"/>
      <c r="K42" s="73" t="e">
        <f>SUMIFS(#REF!,#REF!,"Automovil")*I38%</f>
        <v>#REF!</v>
      </c>
      <c r="L42" s="73" t="e">
        <f>SUMIFS(#REF!,#REF!,"Automovil")*J38%</f>
        <v>#REF!</v>
      </c>
      <c r="M42" s="54"/>
      <c r="N42" s="73" t="e">
        <f>SUMIFS(#REF!,#REF!,"Automovil")*K38%</f>
        <v>#REF!</v>
      </c>
      <c r="O42" s="73" t="e">
        <f>SUMIFS(#REF!,#REF!,"Automovil")*L38%</f>
        <v>#REF!</v>
      </c>
      <c r="P42" s="54"/>
      <c r="Q42" s="73" t="e">
        <f>SUMIFS(#REF!,#REF!,"Automovil")*M38%</f>
        <v>#REF!</v>
      </c>
      <c r="R42" s="73" t="e">
        <f>SUMIFS(#REF!,#REF!,"Automovil")*N38%</f>
        <v>#REF!</v>
      </c>
      <c r="S42" s="54"/>
    </row>
    <row r="43" spans="2:19" ht="30" x14ac:dyDescent="0.25">
      <c r="B43" s="41" t="s">
        <v>77</v>
      </c>
      <c r="C43" s="55" t="e">
        <f>SUMIFS(#REF!,#REF!,"Camion")*C39%</f>
        <v>#REF!</v>
      </c>
      <c r="D43" s="54"/>
      <c r="E43" s="73" t="e">
        <f>SUMIFS(#REF!,#REF!,"Camion")*C38%</f>
        <v>#REF!</v>
      </c>
      <c r="F43" s="73" t="e">
        <f>SUMIFS(#REF!,#REF!,"Camion")*D38%</f>
        <v>#REF!</v>
      </c>
      <c r="G43" s="54"/>
      <c r="H43" s="73" t="e">
        <f>SUMIFS(#REF!,#REF!,"Camion")*F38%</f>
        <v>#REF!</v>
      </c>
      <c r="I43" s="73" t="e">
        <f>SUMIFS(#REF!,#REF!,"Camion")*G38%</f>
        <v>#REF!</v>
      </c>
      <c r="J43" s="54"/>
      <c r="K43" s="73" t="e">
        <f>SUMIFS(#REF!,#REF!,"Camion")*I38%</f>
        <v>#REF!</v>
      </c>
      <c r="L43" s="73" t="e">
        <f>SUMIFS(#REF!,#REF!,"Camion")*J38%</f>
        <v>#REF!</v>
      </c>
      <c r="M43" s="54"/>
      <c r="N43" s="73" t="e">
        <f>SUMIFS(#REF!,#REF!,"Camion")*K38%</f>
        <v>#REF!</v>
      </c>
      <c r="O43" s="73" t="e">
        <f>SUMIFS(#REF!,#REF!,"Camion")*L38%</f>
        <v>#REF!</v>
      </c>
      <c r="P43" s="54"/>
      <c r="Q43" s="73" t="e">
        <f>SUMIFS(#REF!,#REF!,"Camion")*M38%</f>
        <v>#REF!</v>
      </c>
      <c r="R43" s="73" t="e">
        <f>SUMIFS(#REF!,#REF!,"Camion")*N38%</f>
        <v>#REF!</v>
      </c>
      <c r="S43" s="54"/>
    </row>
    <row r="44" spans="2:19" x14ac:dyDescent="0.25">
      <c r="B44" s="41" t="s">
        <v>79</v>
      </c>
      <c r="C44" s="55" t="e">
        <f>SUMIFS(#REF!,#REF!,"Motocicleta")*C40%</f>
        <v>#REF!</v>
      </c>
      <c r="D44" s="54"/>
      <c r="E44" s="73" t="e">
        <f>SUMIFS(#REF!,#REF!,"Motocicleta")*C38%</f>
        <v>#REF!</v>
      </c>
      <c r="F44" s="73" t="e">
        <f>SUMIFS(#REF!,#REF!,"Motocicleta")*D38%</f>
        <v>#REF!</v>
      </c>
      <c r="G44" s="54"/>
      <c r="H44" s="73" t="e">
        <f>SUMIFS(#REF!,#REF!,"Motocicleta")*F38%</f>
        <v>#REF!</v>
      </c>
      <c r="I44" s="73" t="e">
        <f>SUMIFS(#REF!,#REF!,"Motocicleta")*G38%</f>
        <v>#REF!</v>
      </c>
      <c r="J44" s="54"/>
      <c r="K44" s="73" t="e">
        <f>SUMIFS(#REF!,#REF!,"Motocicleta")*I38%</f>
        <v>#REF!</v>
      </c>
      <c r="L44" s="73" t="e">
        <f>SUMIFS(#REF!,#REF!,"Motocicleta")*J38%</f>
        <v>#REF!</v>
      </c>
      <c r="M44" s="54"/>
      <c r="N44" s="73" t="e">
        <f>SUMIFS(#REF!,#REF!,"Motocicleta")*K38%</f>
        <v>#REF!</v>
      </c>
      <c r="O44" s="73" t="e">
        <f>SUMIFS(#REF!,#REF!,"Motocicleta")*L38%</f>
        <v>#REF!</v>
      </c>
      <c r="P44" s="54"/>
      <c r="Q44" s="73" t="e">
        <f>SUMIFS(#REF!,#REF!,"Motocicleta")*M38%</f>
        <v>#REF!</v>
      </c>
      <c r="R44" s="73" t="e">
        <f>SUMIFS(#REF!,#REF!,"Motocicleta")*N38%</f>
        <v>#REF!</v>
      </c>
      <c r="S44" s="54"/>
    </row>
    <row r="45" spans="2:19" s="14" customFormat="1" ht="30" x14ac:dyDescent="0.25">
      <c r="B45" s="87" t="s">
        <v>55</v>
      </c>
      <c r="C45" s="5"/>
      <c r="D45" s="88"/>
      <c r="E45" s="75">
        <v>100000</v>
      </c>
      <c r="F45" s="75"/>
      <c r="G45" s="88"/>
      <c r="H45" s="75"/>
      <c r="I45" s="75"/>
      <c r="J45" s="88"/>
      <c r="K45" s="75"/>
      <c r="L45" s="75"/>
      <c r="M45" s="88"/>
      <c r="N45" s="75"/>
      <c r="O45" s="75"/>
      <c r="P45" s="88"/>
      <c r="Q45" s="75"/>
      <c r="R45" s="75"/>
    </row>
    <row r="46" spans="2:19" x14ac:dyDescent="0.25">
      <c r="B46" s="51" t="s">
        <v>56</v>
      </c>
      <c r="C46" s="5"/>
      <c r="D46" s="17"/>
      <c r="E46" s="7"/>
      <c r="F46" s="7"/>
      <c r="G46" s="17"/>
      <c r="H46" s="7"/>
      <c r="I46" s="7"/>
      <c r="J46" s="17"/>
      <c r="K46" s="7"/>
      <c r="L46" s="7"/>
      <c r="M46" s="17"/>
      <c r="N46" s="7"/>
      <c r="O46" s="7"/>
      <c r="P46" s="17"/>
      <c r="Q46" s="7"/>
      <c r="R46" s="7"/>
    </row>
    <row r="47" spans="2:19" ht="15.75" x14ac:dyDescent="0.25">
      <c r="B47" s="56" t="s">
        <v>57</v>
      </c>
      <c r="C47" s="53" t="e">
        <f>C41+C45+C46</f>
        <v>#REF!</v>
      </c>
      <c r="D47" s="54"/>
      <c r="E47" s="53" t="e">
        <f>E41+E45+E46</f>
        <v>#REF!</v>
      </c>
      <c r="F47" s="53" t="e">
        <f>F41+F45+F46</f>
        <v>#REF!</v>
      </c>
      <c r="G47" s="54"/>
      <c r="H47" s="53" t="e">
        <f>H41+H45+H46</f>
        <v>#REF!</v>
      </c>
      <c r="I47" s="53" t="e">
        <f>I41+I45+I46</f>
        <v>#REF!</v>
      </c>
      <c r="J47" s="54"/>
      <c r="K47" s="53" t="e">
        <f>K41+K45+K46</f>
        <v>#REF!</v>
      </c>
      <c r="L47" s="53" t="e">
        <f>L41+L45+L46</f>
        <v>#REF!</v>
      </c>
      <c r="M47" s="54"/>
      <c r="N47" s="53" t="e">
        <f>N41+N45+N46</f>
        <v>#REF!</v>
      </c>
      <c r="O47" s="53" t="e">
        <f>O41+O45+O46</f>
        <v>#REF!</v>
      </c>
      <c r="P47" s="54"/>
      <c r="Q47" s="53" t="e">
        <f>Q41+Q45+Q46</f>
        <v>#REF!</v>
      </c>
      <c r="R47" s="53" t="e">
        <f>R41+R45+R46</f>
        <v>#REF!</v>
      </c>
      <c r="S47" s="70"/>
    </row>
  </sheetData>
  <mergeCells count="29">
    <mergeCell ref="B22:C22"/>
    <mergeCell ref="B23:C23"/>
    <mergeCell ref="Q6:R6"/>
    <mergeCell ref="C4:H4"/>
    <mergeCell ref="C6:F6"/>
    <mergeCell ref="H6:I6"/>
    <mergeCell ref="K6:L6"/>
    <mergeCell ref="N6:O6"/>
    <mergeCell ref="B27:C27"/>
    <mergeCell ref="E30:F30"/>
    <mergeCell ref="H30:I30"/>
    <mergeCell ref="K30:L30"/>
    <mergeCell ref="N30:O30"/>
    <mergeCell ref="E29:F29"/>
    <mergeCell ref="H29:I29"/>
    <mergeCell ref="K29:L29"/>
    <mergeCell ref="N29:O29"/>
    <mergeCell ref="E28:F28"/>
    <mergeCell ref="H28:I28"/>
    <mergeCell ref="K28:L28"/>
    <mergeCell ref="N28:O28"/>
    <mergeCell ref="Q28:R28"/>
    <mergeCell ref="Q29:R29"/>
    <mergeCell ref="Q30:R30"/>
    <mergeCell ref="E31:F31"/>
    <mergeCell ref="H31:I31"/>
    <mergeCell ref="K31:L31"/>
    <mergeCell ref="N31:O31"/>
    <mergeCell ref="Q31:R31"/>
  </mergeCells>
  <conditionalFormatting sqref="B13">
    <cfRule type="duplicateValues" dxfId="353" priority="207"/>
    <cfRule type="duplicateValues" dxfId="352" priority="208"/>
  </conditionalFormatting>
  <conditionalFormatting sqref="B14">
    <cfRule type="duplicateValues" dxfId="351" priority="206"/>
    <cfRule type="duplicateValues" dxfId="350" priority="205"/>
  </conditionalFormatting>
  <conditionalFormatting sqref="B15">
    <cfRule type="duplicateValues" dxfId="349" priority="172"/>
    <cfRule type="duplicateValues" dxfId="348" priority="171"/>
  </conditionalFormatting>
  <conditionalFormatting sqref="B16">
    <cfRule type="duplicateValues" dxfId="347" priority="204"/>
    <cfRule type="duplicateValues" dxfId="346" priority="203"/>
  </conditionalFormatting>
  <conditionalFormatting sqref="B17">
    <cfRule type="duplicateValues" dxfId="345" priority="202"/>
    <cfRule type="duplicateValues" dxfId="344" priority="201"/>
  </conditionalFormatting>
  <conditionalFormatting sqref="B22">
    <cfRule type="duplicateValues" dxfId="343" priority="188"/>
    <cfRule type="duplicateValues" dxfId="342" priority="187"/>
  </conditionalFormatting>
  <conditionalFormatting sqref="B23">
    <cfRule type="duplicateValues" dxfId="341" priority="180"/>
    <cfRule type="duplicateValues" dxfId="340" priority="179"/>
  </conditionalFormatting>
  <conditionalFormatting sqref="B25">
    <cfRule type="duplicateValues" dxfId="339" priority="184"/>
    <cfRule type="duplicateValues" dxfId="338" priority="183"/>
  </conditionalFormatting>
  <conditionalFormatting sqref="B26">
    <cfRule type="duplicateValues" dxfId="337" priority="108"/>
    <cfRule type="duplicateValues" dxfId="336" priority="107"/>
  </conditionalFormatting>
  <conditionalFormatting sqref="B27">
    <cfRule type="duplicateValues" dxfId="335" priority="210"/>
    <cfRule type="duplicateValues" dxfId="334" priority="209"/>
  </conditionalFormatting>
  <conditionalFormatting sqref="B28">
    <cfRule type="duplicateValues" dxfId="333" priority="106"/>
    <cfRule type="duplicateValues" dxfId="332" priority="105"/>
  </conditionalFormatting>
  <conditionalFormatting sqref="B29:B31">
    <cfRule type="duplicateValues" dxfId="331" priority="92"/>
    <cfRule type="duplicateValues" dxfId="330" priority="91"/>
  </conditionalFormatting>
  <conditionalFormatting sqref="B30:B31">
    <cfRule type="duplicateValues" dxfId="329" priority="186"/>
    <cfRule type="duplicateValues" dxfId="328" priority="185"/>
  </conditionalFormatting>
  <conditionalFormatting sqref="B37">
    <cfRule type="duplicateValues" dxfId="327" priority="128"/>
    <cfRule type="duplicateValues" dxfId="326" priority="127"/>
  </conditionalFormatting>
  <conditionalFormatting sqref="B38:B40">
    <cfRule type="duplicateValues" dxfId="325" priority="41"/>
    <cfRule type="duplicateValues" dxfId="324" priority="42"/>
  </conditionalFormatting>
  <conditionalFormatting sqref="B41">
    <cfRule type="duplicateValues" dxfId="323" priority="123"/>
    <cfRule type="duplicateValues" dxfId="322" priority="124"/>
  </conditionalFormatting>
  <conditionalFormatting sqref="B42:B43">
    <cfRule type="duplicateValues" dxfId="321" priority="35"/>
    <cfRule type="duplicateValues" dxfId="320" priority="36"/>
  </conditionalFormatting>
  <conditionalFormatting sqref="B44">
    <cfRule type="duplicateValues" dxfId="319" priority="29"/>
    <cfRule type="duplicateValues" dxfId="318" priority="30"/>
  </conditionalFormatting>
  <conditionalFormatting sqref="B45">
    <cfRule type="duplicateValues" dxfId="317" priority="121"/>
    <cfRule type="duplicateValues" dxfId="316" priority="122"/>
  </conditionalFormatting>
  <conditionalFormatting sqref="B46">
    <cfRule type="duplicateValues" dxfId="315" priority="117"/>
    <cfRule type="duplicateValues" dxfId="314" priority="118"/>
  </conditionalFormatting>
  <conditionalFormatting sqref="B47">
    <cfRule type="duplicateValues" dxfId="313" priority="114"/>
    <cfRule type="duplicateValues" dxfId="312" priority="113"/>
  </conditionalFormatting>
  <conditionalFormatting sqref="B19:C19">
    <cfRule type="duplicateValues" dxfId="311" priority="192"/>
    <cfRule type="duplicateValues" dxfId="310" priority="191"/>
  </conditionalFormatting>
  <conditionalFormatting sqref="B20:C20">
    <cfRule type="duplicateValues" dxfId="309" priority="190"/>
    <cfRule type="duplicateValues" dxfId="308" priority="189"/>
  </conditionalFormatting>
  <conditionalFormatting sqref="C13">
    <cfRule type="duplicateValues" dxfId="307" priority="200"/>
    <cfRule type="duplicateValues" dxfId="306" priority="199"/>
  </conditionalFormatting>
  <conditionalFormatting sqref="C14">
    <cfRule type="duplicateValues" dxfId="305" priority="197"/>
    <cfRule type="duplicateValues" dxfId="304" priority="198"/>
  </conditionalFormatting>
  <conditionalFormatting sqref="C15">
    <cfRule type="duplicateValues" dxfId="303" priority="169"/>
    <cfRule type="duplicateValues" dxfId="302" priority="170"/>
  </conditionalFormatting>
  <conditionalFormatting sqref="C16">
    <cfRule type="duplicateValues" dxfId="301" priority="195"/>
    <cfRule type="duplicateValues" dxfId="300" priority="196"/>
  </conditionalFormatting>
  <conditionalFormatting sqref="C17">
    <cfRule type="duplicateValues" dxfId="299" priority="194"/>
    <cfRule type="duplicateValues" dxfId="298" priority="193"/>
  </conditionalFormatting>
  <conditionalFormatting sqref="C25">
    <cfRule type="duplicateValues" dxfId="297" priority="181"/>
    <cfRule type="duplicateValues" dxfId="296" priority="182"/>
  </conditionalFormatting>
  <conditionalFormatting sqref="C28">
    <cfRule type="duplicateValues" dxfId="295" priority="104"/>
    <cfRule type="duplicateValues" dxfId="294" priority="103"/>
  </conditionalFormatting>
  <conditionalFormatting sqref="C29">
    <cfRule type="duplicateValues" dxfId="293" priority="178"/>
    <cfRule type="duplicateValues" dxfId="292" priority="177"/>
  </conditionalFormatting>
  <conditionalFormatting sqref="C30">
    <cfRule type="duplicateValues" dxfId="291" priority="89"/>
    <cfRule type="duplicateValues" dxfId="290" priority="90"/>
  </conditionalFormatting>
  <conditionalFormatting sqref="C31">
    <cfRule type="duplicateValues" dxfId="289" priority="88"/>
    <cfRule type="duplicateValues" dxfId="288" priority="87"/>
  </conditionalFormatting>
  <conditionalFormatting sqref="C37">
    <cfRule type="duplicateValues" dxfId="287" priority="125"/>
    <cfRule type="duplicateValues" dxfId="286" priority="126"/>
  </conditionalFormatting>
  <conditionalFormatting sqref="C45">
    <cfRule type="duplicateValues" dxfId="285" priority="119"/>
    <cfRule type="duplicateValues" dxfId="284" priority="120"/>
  </conditionalFormatting>
  <conditionalFormatting sqref="C46">
    <cfRule type="duplicateValues" dxfId="283" priority="116"/>
    <cfRule type="duplicateValues" dxfId="282" priority="115"/>
  </conditionalFormatting>
  <conditionalFormatting sqref="C47">
    <cfRule type="duplicateValues" dxfId="281" priority="111"/>
    <cfRule type="duplicateValues" dxfId="280" priority="112"/>
  </conditionalFormatting>
  <conditionalFormatting sqref="E15">
    <cfRule type="duplicateValues" dxfId="279" priority="148"/>
    <cfRule type="duplicateValues" dxfId="278" priority="147"/>
  </conditionalFormatting>
  <conditionalFormatting sqref="E16">
    <cfRule type="duplicateValues" dxfId="277" priority="167"/>
    <cfRule type="duplicateValues" dxfId="276" priority="168"/>
  </conditionalFormatting>
  <conditionalFormatting sqref="E28">
    <cfRule type="duplicateValues" dxfId="275" priority="99"/>
    <cfRule type="duplicateValues" dxfId="274" priority="100"/>
  </conditionalFormatting>
  <conditionalFormatting sqref="E29">
    <cfRule type="duplicateValues" dxfId="273" priority="85"/>
    <cfRule type="duplicateValues" dxfId="272" priority="86"/>
  </conditionalFormatting>
  <conditionalFormatting sqref="E30">
    <cfRule type="duplicateValues" dxfId="271" priority="80"/>
    <cfRule type="duplicateValues" dxfId="270" priority="79"/>
  </conditionalFormatting>
  <conditionalFormatting sqref="E31">
    <cfRule type="duplicateValues" dxfId="269" priority="77"/>
    <cfRule type="duplicateValues" dxfId="268" priority="78"/>
  </conditionalFormatting>
  <conditionalFormatting sqref="E47">
    <cfRule type="duplicateValues" dxfId="267" priority="22"/>
    <cfRule type="duplicateValues" dxfId="266" priority="21"/>
  </conditionalFormatting>
  <conditionalFormatting sqref="F15">
    <cfRule type="duplicateValues" dxfId="265" priority="145"/>
    <cfRule type="duplicateValues" dxfId="264" priority="146"/>
  </conditionalFormatting>
  <conditionalFormatting sqref="F16">
    <cfRule type="duplicateValues" dxfId="263" priority="165"/>
    <cfRule type="duplicateValues" dxfId="262" priority="166"/>
  </conditionalFormatting>
  <conditionalFormatting sqref="F47">
    <cfRule type="duplicateValues" dxfId="261" priority="20"/>
    <cfRule type="duplicateValues" dxfId="260" priority="19"/>
  </conditionalFormatting>
  <conditionalFormatting sqref="H15">
    <cfRule type="duplicateValues" dxfId="259" priority="143"/>
    <cfRule type="duplicateValues" dxfId="258" priority="144"/>
  </conditionalFormatting>
  <conditionalFormatting sqref="H16">
    <cfRule type="duplicateValues" dxfId="257" priority="163"/>
    <cfRule type="duplicateValues" dxfId="256" priority="164"/>
  </conditionalFormatting>
  <conditionalFormatting sqref="H28">
    <cfRule type="duplicateValues" dxfId="255" priority="102"/>
    <cfRule type="duplicateValues" dxfId="254" priority="101"/>
  </conditionalFormatting>
  <conditionalFormatting sqref="H29">
    <cfRule type="duplicateValues" dxfId="253" priority="75"/>
    <cfRule type="duplicateValues" dxfId="252" priority="76"/>
  </conditionalFormatting>
  <conditionalFormatting sqref="H30">
    <cfRule type="duplicateValues" dxfId="251" priority="70"/>
    <cfRule type="duplicateValues" dxfId="250" priority="69"/>
  </conditionalFormatting>
  <conditionalFormatting sqref="H31">
    <cfRule type="duplicateValues" dxfId="249" priority="68"/>
    <cfRule type="duplicateValues" dxfId="248" priority="67"/>
  </conditionalFormatting>
  <conditionalFormatting sqref="H47">
    <cfRule type="duplicateValues" dxfId="247" priority="16"/>
    <cfRule type="duplicateValues" dxfId="246" priority="15"/>
  </conditionalFormatting>
  <conditionalFormatting sqref="I15">
    <cfRule type="duplicateValues" dxfId="245" priority="142"/>
    <cfRule type="duplicateValues" dxfId="244" priority="141"/>
  </conditionalFormatting>
  <conditionalFormatting sqref="I16">
    <cfRule type="duplicateValues" dxfId="243" priority="161"/>
    <cfRule type="duplicateValues" dxfId="242" priority="162"/>
  </conditionalFormatting>
  <conditionalFormatting sqref="I47">
    <cfRule type="duplicateValues" dxfId="241" priority="14"/>
    <cfRule type="duplicateValues" dxfId="240" priority="13"/>
  </conditionalFormatting>
  <conditionalFormatting sqref="K15">
    <cfRule type="duplicateValues" dxfId="239" priority="140"/>
    <cfRule type="duplicateValues" dxfId="238" priority="139"/>
  </conditionalFormatting>
  <conditionalFormatting sqref="K16">
    <cfRule type="duplicateValues" dxfId="237" priority="159"/>
    <cfRule type="duplicateValues" dxfId="236" priority="160"/>
  </conditionalFormatting>
  <conditionalFormatting sqref="K28">
    <cfRule type="duplicateValues" dxfId="235" priority="97"/>
    <cfRule type="duplicateValues" dxfId="234" priority="98"/>
  </conditionalFormatting>
  <conditionalFormatting sqref="K29">
    <cfRule type="duplicateValues" dxfId="233" priority="65"/>
    <cfRule type="duplicateValues" dxfId="232" priority="66"/>
  </conditionalFormatting>
  <conditionalFormatting sqref="K30">
    <cfRule type="duplicateValues" dxfId="231" priority="63"/>
    <cfRule type="duplicateValues" dxfId="230" priority="64"/>
  </conditionalFormatting>
  <conditionalFormatting sqref="K31">
    <cfRule type="duplicateValues" dxfId="229" priority="62"/>
    <cfRule type="duplicateValues" dxfId="228" priority="61"/>
  </conditionalFormatting>
  <conditionalFormatting sqref="K47">
    <cfRule type="duplicateValues" dxfId="227" priority="12"/>
    <cfRule type="duplicateValues" dxfId="226" priority="11"/>
  </conditionalFormatting>
  <conditionalFormatting sqref="L15">
    <cfRule type="duplicateValues" dxfId="225" priority="138"/>
    <cfRule type="duplicateValues" dxfId="224" priority="137"/>
  </conditionalFormatting>
  <conditionalFormatting sqref="L16">
    <cfRule type="duplicateValues" dxfId="223" priority="157"/>
    <cfRule type="duplicateValues" dxfId="222" priority="158"/>
  </conditionalFormatting>
  <conditionalFormatting sqref="L47">
    <cfRule type="duplicateValues" dxfId="221" priority="10"/>
    <cfRule type="duplicateValues" dxfId="220" priority="9"/>
  </conditionalFormatting>
  <conditionalFormatting sqref="N15">
    <cfRule type="duplicateValues" dxfId="219" priority="135"/>
    <cfRule type="duplicateValues" dxfId="218" priority="136"/>
  </conditionalFormatting>
  <conditionalFormatting sqref="N16">
    <cfRule type="duplicateValues" dxfId="217" priority="155"/>
    <cfRule type="duplicateValues" dxfId="216" priority="156"/>
  </conditionalFormatting>
  <conditionalFormatting sqref="N28">
    <cfRule type="duplicateValues" dxfId="215" priority="95"/>
    <cfRule type="duplicateValues" dxfId="214" priority="96"/>
  </conditionalFormatting>
  <conditionalFormatting sqref="N29">
    <cfRule type="duplicateValues" dxfId="213" priority="60"/>
    <cfRule type="duplicateValues" dxfId="212" priority="59"/>
  </conditionalFormatting>
  <conditionalFormatting sqref="N30">
    <cfRule type="duplicateValues" dxfId="211" priority="58"/>
    <cfRule type="duplicateValues" dxfId="210" priority="57"/>
  </conditionalFormatting>
  <conditionalFormatting sqref="N31">
    <cfRule type="duplicateValues" dxfId="209" priority="56"/>
    <cfRule type="duplicateValues" dxfId="208" priority="55"/>
  </conditionalFormatting>
  <conditionalFormatting sqref="N47">
    <cfRule type="duplicateValues" dxfId="207" priority="8"/>
    <cfRule type="duplicateValues" dxfId="206" priority="7"/>
  </conditionalFormatting>
  <conditionalFormatting sqref="O15">
    <cfRule type="duplicateValues" dxfId="205" priority="133"/>
    <cfRule type="duplicateValues" dxfId="204" priority="134"/>
  </conditionalFormatting>
  <conditionalFormatting sqref="O16">
    <cfRule type="duplicateValues" dxfId="203" priority="154"/>
    <cfRule type="duplicateValues" dxfId="202" priority="153"/>
  </conditionalFormatting>
  <conditionalFormatting sqref="O47">
    <cfRule type="duplicateValues" dxfId="201" priority="5"/>
    <cfRule type="duplicateValues" dxfId="200" priority="6"/>
  </conditionalFormatting>
  <conditionalFormatting sqref="Q15">
    <cfRule type="duplicateValues" dxfId="199" priority="131"/>
    <cfRule type="duplicateValues" dxfId="198" priority="132"/>
  </conditionalFormatting>
  <conditionalFormatting sqref="Q16">
    <cfRule type="duplicateValues" dxfId="197" priority="151"/>
    <cfRule type="duplicateValues" dxfId="196" priority="152"/>
  </conditionalFormatting>
  <conditionalFormatting sqref="Q28">
    <cfRule type="duplicateValues" dxfId="195" priority="93"/>
    <cfRule type="duplicateValues" dxfId="194" priority="94"/>
  </conditionalFormatting>
  <conditionalFormatting sqref="Q29">
    <cfRule type="duplicateValues" dxfId="193" priority="54"/>
    <cfRule type="duplicateValues" dxfId="192" priority="53"/>
  </conditionalFormatting>
  <conditionalFormatting sqref="Q30">
    <cfRule type="duplicateValues" dxfId="191" priority="51"/>
    <cfRule type="duplicateValues" dxfId="190" priority="52"/>
  </conditionalFormatting>
  <conditionalFormatting sqref="Q31">
    <cfRule type="duplicateValues" dxfId="189" priority="49"/>
    <cfRule type="duplicateValues" dxfId="188" priority="50"/>
  </conditionalFormatting>
  <conditionalFormatting sqref="Q47">
    <cfRule type="duplicateValues" dxfId="187" priority="4"/>
    <cfRule type="duplicateValues" dxfId="186" priority="3"/>
  </conditionalFormatting>
  <conditionalFormatting sqref="R15">
    <cfRule type="duplicateValues" dxfId="185" priority="129"/>
    <cfRule type="duplicateValues" dxfId="184" priority="130"/>
  </conditionalFormatting>
  <conditionalFormatting sqref="R16">
    <cfRule type="duplicateValues" dxfId="183" priority="149"/>
    <cfRule type="duplicateValues" dxfId="182" priority="150"/>
  </conditionalFormatting>
  <conditionalFormatting sqref="R47">
    <cfRule type="duplicateValues" dxfId="181" priority="2"/>
    <cfRule type="duplicateValues" dxfId="180" priority="1"/>
  </conditionalFormatting>
  <dataValidations count="2">
    <dataValidation type="list" allowBlank="1" showInputMessage="1" showErrorMessage="1" sqref="C6:F6 H6:I6 K6:L6 N6:O6 Q6:R6" xr:uid="{8A0DD2F0-81FD-46B6-ACED-A0627EDA1287}">
      <formula1>Aseguradoras</formula1>
    </dataValidation>
    <dataValidation type="list" allowBlank="1" showInputMessage="1" showErrorMessage="1" sqref="B28" xr:uid="{11FAC799-C8B1-4911-B928-72C9F6577ABA}">
      <formula1>Forma_Pago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16D32-19BD-4829-A755-8C42C8EC581D}">
  <dimension ref="B3:C30"/>
  <sheetViews>
    <sheetView showGridLines="0" workbookViewId="0">
      <selection activeCell="G13" sqref="G13"/>
    </sheetView>
  </sheetViews>
  <sheetFormatPr baseColWidth="10" defaultColWidth="11.42578125" defaultRowHeight="15" x14ac:dyDescent="0.25"/>
  <cols>
    <col min="1" max="1" width="4" customWidth="1"/>
    <col min="2" max="2" width="26.5703125" bestFit="1" customWidth="1"/>
    <col min="3" max="3" width="22.28515625" bestFit="1" customWidth="1"/>
    <col min="4" max="4" width="7" customWidth="1"/>
  </cols>
  <sheetData>
    <row r="3" spans="2:3" ht="13.9" customHeight="1" x14ac:dyDescent="0.25"/>
    <row r="4" spans="2:3" ht="24" customHeight="1" x14ac:dyDescent="0.25">
      <c r="B4" s="77" t="s">
        <v>80</v>
      </c>
    </row>
    <row r="5" spans="2:3" ht="18" customHeight="1" x14ac:dyDescent="0.25">
      <c r="B5" s="2"/>
    </row>
    <row r="6" spans="2:3" x14ac:dyDescent="0.25">
      <c r="B6" s="61" t="s">
        <v>58</v>
      </c>
      <c r="C6" s="90">
        <v>44459</v>
      </c>
    </row>
    <row r="7" spans="2:3" x14ac:dyDescent="0.25">
      <c r="B7" s="61" t="s">
        <v>59</v>
      </c>
      <c r="C7" s="62" t="e">
        <f>C8-365</f>
        <v>#REF!</v>
      </c>
    </row>
    <row r="8" spans="2:3" x14ac:dyDescent="0.25">
      <c r="B8" s="61" t="s">
        <v>60</v>
      </c>
      <c r="C8" s="63" t="e">
        <f>#REF!</f>
        <v>#REF!</v>
      </c>
    </row>
    <row r="9" spans="2:3" x14ac:dyDescent="0.25">
      <c r="B9" s="65"/>
      <c r="C9" s="65"/>
    </row>
    <row r="10" spans="2:3" x14ac:dyDescent="0.25">
      <c r="B10" s="66" t="s">
        <v>61</v>
      </c>
      <c r="C10" s="4" t="e">
        <f>#REF!</f>
        <v>#REF!</v>
      </c>
    </row>
    <row r="11" spans="2:3" x14ac:dyDescent="0.25">
      <c r="B11" s="66" t="s">
        <v>62</v>
      </c>
      <c r="C11" s="5" t="e">
        <f>#REF!</f>
        <v>#REF!</v>
      </c>
    </row>
    <row r="12" spans="2:3" x14ac:dyDescent="0.25">
      <c r="B12" s="66" t="s">
        <v>63</v>
      </c>
      <c r="C12" s="91">
        <v>9000</v>
      </c>
    </row>
    <row r="13" spans="2:3" x14ac:dyDescent="0.25">
      <c r="B13" s="66" t="s">
        <v>64</v>
      </c>
      <c r="C13" s="5" t="e">
        <f>C12/($C$6-$C$7)*365</f>
        <v>#REF!</v>
      </c>
    </row>
    <row r="14" spans="2:3" x14ac:dyDescent="0.25">
      <c r="B14" s="66" t="s">
        <v>65</v>
      </c>
      <c r="C14" s="67" t="str">
        <f>IFERROR(C12/C10,"")</f>
        <v/>
      </c>
    </row>
    <row r="15" spans="2:3" x14ac:dyDescent="0.25">
      <c r="B15" s="66" t="s">
        <v>66</v>
      </c>
      <c r="C15" s="64" t="str">
        <f>IFERROR(C13/C10,"")</f>
        <v/>
      </c>
    </row>
    <row r="16" spans="2:3" x14ac:dyDescent="0.25">
      <c r="B16" s="66" t="s">
        <v>67</v>
      </c>
      <c r="C16" s="68" t="e">
        <f>C17/C11-1</f>
        <v>#REF!</v>
      </c>
    </row>
    <row r="17" spans="2:3" x14ac:dyDescent="0.25">
      <c r="B17" s="66" t="s">
        <v>68</v>
      </c>
      <c r="C17" s="92" t="e">
        <f>#REF!</f>
        <v>#REF!</v>
      </c>
    </row>
    <row r="18" spans="2:3" x14ac:dyDescent="0.25">
      <c r="B18" s="66" t="s">
        <v>69</v>
      </c>
      <c r="C18" s="67" t="str">
        <f>IFERROR(C13/C17,"")</f>
        <v/>
      </c>
    </row>
    <row r="19" spans="2:3" ht="23.25" x14ac:dyDescent="0.25">
      <c r="B19" s="2"/>
    </row>
    <row r="20" spans="2:3" ht="23.25" x14ac:dyDescent="0.25">
      <c r="B20" s="2"/>
    </row>
    <row r="21" spans="2:3" ht="23.25" x14ac:dyDescent="0.25">
      <c r="B21" s="2"/>
    </row>
    <row r="22" spans="2:3" ht="23.25" x14ac:dyDescent="0.25">
      <c r="B22" s="2"/>
    </row>
    <row r="23" spans="2:3" ht="23.25" x14ac:dyDescent="0.25">
      <c r="B23" s="2"/>
    </row>
    <row r="24" spans="2:3" ht="23.25" x14ac:dyDescent="0.25">
      <c r="B24" s="2"/>
    </row>
    <row r="25" spans="2:3" ht="23.25" x14ac:dyDescent="0.25">
      <c r="B25" s="2"/>
    </row>
    <row r="26" spans="2:3" ht="23.25" x14ac:dyDescent="0.25">
      <c r="B26" s="2"/>
    </row>
    <row r="27" spans="2:3" ht="23.25" x14ac:dyDescent="0.25">
      <c r="B27" s="2"/>
    </row>
    <row r="28" spans="2:3" ht="23.25" x14ac:dyDescent="0.25">
      <c r="B28" s="2"/>
    </row>
    <row r="29" spans="2:3" ht="18" customHeight="1" x14ac:dyDescent="0.25"/>
    <row r="30" spans="2:3" ht="18" customHeight="1" x14ac:dyDescent="0.25"/>
  </sheetData>
  <pageMargins left="0.7" right="0.7" top="0.75" bottom="0.75" header="0.3" footer="0.3"/>
  <pageSetup paperSize="9" orientation="portrait" horizontalDpi="360" verticalDpi="36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C11B6-4DF1-48D5-8224-E76A3642FC8C}">
  <dimension ref="A1:AP58"/>
  <sheetViews>
    <sheetView tabSelected="1" topLeftCell="AD1" zoomScale="130" zoomScaleNormal="130" workbookViewId="0">
      <selection activeCell="AM3" sqref="AM3"/>
    </sheetView>
  </sheetViews>
  <sheetFormatPr baseColWidth="10" defaultColWidth="8.85546875" defaultRowHeight="15" x14ac:dyDescent="0.25"/>
  <cols>
    <col min="1" max="1" width="16.85546875" customWidth="1"/>
    <col min="2" max="2" width="17.42578125" customWidth="1"/>
    <col min="3" max="3" width="29.42578125" customWidth="1"/>
    <col min="4" max="4" width="19.85546875" customWidth="1"/>
    <col min="5" max="5" width="14.140625" customWidth="1"/>
    <col min="6" max="6" width="31.85546875" customWidth="1"/>
    <col min="7" max="7" width="14" customWidth="1"/>
    <col min="8" max="8" width="19.85546875" bestFit="1" customWidth="1"/>
    <col min="9" max="9" width="13.5703125" style="50" bestFit="1" customWidth="1"/>
    <col min="10" max="10" width="24.42578125" style="48" bestFit="1" customWidth="1"/>
    <col min="11" max="11" width="10.85546875" bestFit="1" customWidth="1"/>
    <col min="12" max="12" width="9.7109375" style="48" customWidth="1"/>
    <col min="13" max="13" width="22.7109375" customWidth="1"/>
    <col min="14" max="14" width="9.140625" customWidth="1"/>
    <col min="15" max="15" width="12.140625" bestFit="1" customWidth="1"/>
    <col min="16" max="16" width="15.85546875" customWidth="1"/>
    <col min="17" max="17" width="11.5703125" style="50" bestFit="1" customWidth="1"/>
    <col min="18" max="18" width="14.7109375" customWidth="1"/>
    <col min="19" max="19" width="15.42578125" style="50" customWidth="1"/>
    <col min="20" max="20" width="10.7109375" customWidth="1"/>
    <col min="21" max="21" width="10.28515625" customWidth="1"/>
    <col min="22" max="22" width="10.85546875" customWidth="1"/>
    <col min="23" max="23" width="8.5703125" customWidth="1"/>
    <col min="24" max="24" width="14.5703125" customWidth="1"/>
    <col min="25" max="25" width="9.7109375" style="50" customWidth="1"/>
    <col min="26" max="26" width="9.5703125" style="48" customWidth="1"/>
    <col min="27" max="27" width="22.42578125" customWidth="1"/>
    <col min="28" max="28" width="21.42578125" customWidth="1"/>
    <col min="29" max="29" width="16.85546875" style="48" customWidth="1"/>
    <col min="30" max="30" width="13.5703125" style="93" customWidth="1"/>
    <col min="31" max="31" width="12.5703125" style="48" customWidth="1"/>
    <col min="32" max="32" width="18" style="93" customWidth="1"/>
    <col min="33" max="33" width="14.5703125" style="48" customWidth="1"/>
    <col min="34" max="34" width="15" style="93" customWidth="1"/>
    <col min="35" max="35" width="15" style="48" customWidth="1"/>
    <col min="36" max="36" width="13.7109375" style="93" customWidth="1"/>
    <col min="37" max="37" width="16.42578125" style="48" customWidth="1"/>
    <col min="38" max="38" width="9.5703125" style="93" customWidth="1"/>
    <col min="39" max="39" width="15.5703125" customWidth="1"/>
    <col min="40" max="40" width="20.140625" customWidth="1"/>
    <col min="41" max="41" width="22.7109375" customWidth="1"/>
    <col min="42" max="42" width="12.85546875" customWidth="1"/>
  </cols>
  <sheetData>
    <row r="1" spans="1:42" s="1" customFormat="1" ht="33.75" x14ac:dyDescent="0.2">
      <c r="A1" s="96" t="s">
        <v>106</v>
      </c>
      <c r="B1" s="96" t="s">
        <v>0</v>
      </c>
      <c r="C1" s="105" t="s">
        <v>409</v>
      </c>
      <c r="D1" s="97" t="s">
        <v>128</v>
      </c>
      <c r="E1" s="97" t="s">
        <v>127</v>
      </c>
      <c r="F1" s="98" t="s">
        <v>126</v>
      </c>
      <c r="G1" s="99" t="s">
        <v>45</v>
      </c>
      <c r="H1" s="105" t="s">
        <v>109</v>
      </c>
      <c r="I1" s="105" t="s">
        <v>1</v>
      </c>
      <c r="J1" s="105" t="s">
        <v>2</v>
      </c>
      <c r="K1" s="105" t="s">
        <v>107</v>
      </c>
      <c r="L1" s="100" t="s">
        <v>108</v>
      </c>
      <c r="M1" s="105" t="s">
        <v>105</v>
      </c>
      <c r="N1" s="101" t="s">
        <v>46</v>
      </c>
      <c r="O1" s="105" t="s">
        <v>125</v>
      </c>
      <c r="P1" s="101" t="s">
        <v>40</v>
      </c>
      <c r="Q1" s="105" t="s">
        <v>123</v>
      </c>
      <c r="R1" s="105" t="s">
        <v>39</v>
      </c>
      <c r="S1" s="102" t="s">
        <v>110</v>
      </c>
      <c r="T1" s="102" t="s">
        <v>122</v>
      </c>
      <c r="U1" s="103" t="s">
        <v>47</v>
      </c>
      <c r="V1" s="103" t="s">
        <v>124</v>
      </c>
      <c r="W1" s="103" t="s">
        <v>48</v>
      </c>
      <c r="X1" s="103" t="s">
        <v>38</v>
      </c>
      <c r="Y1" s="102" t="s">
        <v>129</v>
      </c>
      <c r="Z1" s="100" t="s">
        <v>111</v>
      </c>
      <c r="AA1" s="106" t="s">
        <v>410</v>
      </c>
      <c r="AB1" s="106" t="s">
        <v>411</v>
      </c>
      <c r="AC1" s="94" t="s">
        <v>112</v>
      </c>
      <c r="AD1" s="95" t="s">
        <v>113</v>
      </c>
      <c r="AE1" s="94" t="s">
        <v>114</v>
      </c>
      <c r="AF1" s="95" t="s">
        <v>115</v>
      </c>
      <c r="AG1" s="94" t="s">
        <v>116</v>
      </c>
      <c r="AH1" s="95" t="s">
        <v>117</v>
      </c>
      <c r="AI1" s="94" t="s">
        <v>118</v>
      </c>
      <c r="AJ1" s="95" t="s">
        <v>119</v>
      </c>
      <c r="AK1" s="94" t="s">
        <v>120</v>
      </c>
      <c r="AL1" s="95" t="s">
        <v>121</v>
      </c>
      <c r="AM1" s="107" t="s">
        <v>402</v>
      </c>
      <c r="AN1" s="107" t="s">
        <v>403</v>
      </c>
      <c r="AO1" s="107" t="s">
        <v>404</v>
      </c>
      <c r="AP1" s="107" t="s">
        <v>405</v>
      </c>
    </row>
    <row r="2" spans="1:42" x14ac:dyDescent="0.25">
      <c r="A2">
        <v>1</v>
      </c>
      <c r="B2">
        <v>452538</v>
      </c>
      <c r="C2" t="s">
        <v>131</v>
      </c>
      <c r="D2" t="s">
        <v>132</v>
      </c>
      <c r="E2" t="s">
        <v>132</v>
      </c>
      <c r="F2" t="s">
        <v>132</v>
      </c>
      <c r="G2">
        <v>5</v>
      </c>
      <c r="H2">
        <v>17</v>
      </c>
      <c r="I2">
        <v>44</v>
      </c>
      <c r="J2" t="s">
        <v>133</v>
      </c>
      <c r="K2">
        <v>2015</v>
      </c>
      <c r="L2" t="s">
        <v>385</v>
      </c>
      <c r="M2" t="s">
        <v>134</v>
      </c>
      <c r="N2" t="s">
        <v>135</v>
      </c>
      <c r="O2" t="s">
        <v>136</v>
      </c>
      <c r="Q2">
        <v>120573</v>
      </c>
      <c r="R2">
        <v>5</v>
      </c>
      <c r="S2"/>
      <c r="U2" t="s">
        <v>401</v>
      </c>
      <c r="V2">
        <v>0</v>
      </c>
      <c r="W2" t="s">
        <v>401</v>
      </c>
      <c r="X2">
        <v>0</v>
      </c>
      <c r="Y2"/>
      <c r="Z2"/>
      <c r="AA2" s="49">
        <v>45657</v>
      </c>
      <c r="AB2" s="49">
        <v>46022</v>
      </c>
      <c r="AM2" s="104">
        <v>98685</v>
      </c>
      <c r="AN2" t="s">
        <v>408</v>
      </c>
      <c r="AO2" t="s">
        <v>406</v>
      </c>
      <c r="AP2" t="s">
        <v>407</v>
      </c>
    </row>
    <row r="3" spans="1:42" x14ac:dyDescent="0.25">
      <c r="A3">
        <v>2</v>
      </c>
      <c r="B3">
        <v>452538</v>
      </c>
      <c r="C3" t="s">
        <v>131</v>
      </c>
      <c r="D3" t="s">
        <v>149</v>
      </c>
      <c r="E3" t="s">
        <v>149</v>
      </c>
      <c r="F3" t="s">
        <v>149</v>
      </c>
      <c r="G3">
        <v>5</v>
      </c>
      <c r="H3">
        <v>1</v>
      </c>
      <c r="I3">
        <v>44</v>
      </c>
      <c r="J3" t="s">
        <v>137</v>
      </c>
      <c r="K3">
        <v>2003</v>
      </c>
      <c r="L3" t="s">
        <v>386</v>
      </c>
      <c r="M3" t="s">
        <v>138</v>
      </c>
      <c r="N3" t="s">
        <v>139</v>
      </c>
      <c r="O3" t="s">
        <v>140</v>
      </c>
      <c r="Q3">
        <v>19847</v>
      </c>
      <c r="R3">
        <v>5</v>
      </c>
      <c r="S3"/>
      <c r="U3" t="s">
        <v>401</v>
      </c>
      <c r="V3">
        <v>0</v>
      </c>
      <c r="W3" t="s">
        <v>401</v>
      </c>
      <c r="X3">
        <v>0</v>
      </c>
      <c r="Y3"/>
      <c r="Z3"/>
      <c r="AA3" s="49">
        <v>45657</v>
      </c>
      <c r="AB3" s="49">
        <v>46022</v>
      </c>
      <c r="AM3" s="104">
        <v>98685</v>
      </c>
      <c r="AN3" t="s">
        <v>408</v>
      </c>
      <c r="AO3" t="s">
        <v>406</v>
      </c>
      <c r="AP3" t="s">
        <v>407</v>
      </c>
    </row>
    <row r="4" spans="1:42" x14ac:dyDescent="0.25">
      <c r="A4">
        <v>3</v>
      </c>
      <c r="B4">
        <v>452538</v>
      </c>
      <c r="C4" t="s">
        <v>131</v>
      </c>
      <c r="D4" t="s">
        <v>150</v>
      </c>
      <c r="E4" t="s">
        <v>150</v>
      </c>
      <c r="F4" t="s">
        <v>150</v>
      </c>
      <c r="G4">
        <v>5</v>
      </c>
      <c r="H4">
        <v>3</v>
      </c>
      <c r="I4">
        <v>58</v>
      </c>
      <c r="J4" t="s">
        <v>141</v>
      </c>
      <c r="K4">
        <v>2019</v>
      </c>
      <c r="L4" t="s">
        <v>385</v>
      </c>
      <c r="M4" t="s">
        <v>143</v>
      </c>
      <c r="N4" t="s">
        <v>142</v>
      </c>
      <c r="O4" t="s">
        <v>144</v>
      </c>
      <c r="Q4">
        <v>10996</v>
      </c>
      <c r="R4">
        <v>5</v>
      </c>
      <c r="S4"/>
      <c r="U4" t="s">
        <v>401</v>
      </c>
      <c r="V4">
        <v>0</v>
      </c>
      <c r="W4" t="s">
        <v>401</v>
      </c>
      <c r="X4">
        <v>0</v>
      </c>
      <c r="Y4"/>
      <c r="Z4"/>
      <c r="AA4" s="49">
        <v>45657</v>
      </c>
      <c r="AB4" s="49">
        <v>46022</v>
      </c>
      <c r="AM4" s="104">
        <v>98685</v>
      </c>
      <c r="AN4" t="s">
        <v>408</v>
      </c>
      <c r="AO4" t="s">
        <v>406</v>
      </c>
      <c r="AP4" t="s">
        <v>407</v>
      </c>
    </row>
    <row r="5" spans="1:42" x14ac:dyDescent="0.25">
      <c r="A5">
        <v>4</v>
      </c>
      <c r="B5">
        <v>452538</v>
      </c>
      <c r="C5" t="s">
        <v>131</v>
      </c>
      <c r="D5" t="s">
        <v>151</v>
      </c>
      <c r="E5" t="s">
        <v>151</v>
      </c>
      <c r="F5" t="s">
        <v>151</v>
      </c>
      <c r="G5">
        <v>5</v>
      </c>
      <c r="H5">
        <v>17</v>
      </c>
      <c r="I5">
        <v>28</v>
      </c>
      <c r="J5" t="s">
        <v>145</v>
      </c>
      <c r="K5">
        <v>2013</v>
      </c>
      <c r="L5" t="s">
        <v>386</v>
      </c>
      <c r="M5" t="s">
        <v>146</v>
      </c>
      <c r="N5" t="s">
        <v>147</v>
      </c>
      <c r="O5" t="s">
        <v>148</v>
      </c>
      <c r="Q5">
        <v>66158</v>
      </c>
      <c r="R5">
        <v>5</v>
      </c>
      <c r="S5"/>
      <c r="U5" t="s">
        <v>401</v>
      </c>
      <c r="V5">
        <v>0</v>
      </c>
      <c r="W5" t="s">
        <v>401</v>
      </c>
      <c r="X5">
        <v>0</v>
      </c>
      <c r="Y5"/>
      <c r="Z5"/>
      <c r="AA5" s="49">
        <v>45657</v>
      </c>
      <c r="AB5" s="49">
        <v>46022</v>
      </c>
      <c r="AM5" s="104">
        <v>98685</v>
      </c>
      <c r="AN5" t="s">
        <v>408</v>
      </c>
      <c r="AO5" t="s">
        <v>406</v>
      </c>
      <c r="AP5" t="s">
        <v>407</v>
      </c>
    </row>
    <row r="6" spans="1:42" x14ac:dyDescent="0.25">
      <c r="A6">
        <v>5</v>
      </c>
      <c r="B6">
        <v>452538</v>
      </c>
      <c r="C6" t="s">
        <v>131</v>
      </c>
      <c r="D6" t="s">
        <v>152</v>
      </c>
      <c r="E6" t="s">
        <v>152</v>
      </c>
      <c r="F6" t="s">
        <v>152</v>
      </c>
      <c r="G6">
        <v>5</v>
      </c>
      <c r="H6">
        <v>3</v>
      </c>
      <c r="I6">
        <v>58</v>
      </c>
      <c r="J6" t="s">
        <v>141</v>
      </c>
      <c r="K6">
        <v>2017</v>
      </c>
      <c r="L6" t="s">
        <v>385</v>
      </c>
      <c r="M6" t="s">
        <v>154</v>
      </c>
      <c r="N6" t="s">
        <v>155</v>
      </c>
      <c r="O6" t="s">
        <v>156</v>
      </c>
      <c r="Q6">
        <v>7542</v>
      </c>
      <c r="R6">
        <v>5</v>
      </c>
      <c r="S6"/>
      <c r="U6" t="s">
        <v>401</v>
      </c>
      <c r="V6">
        <v>0</v>
      </c>
      <c r="W6" t="s">
        <v>401</v>
      </c>
      <c r="X6">
        <v>0</v>
      </c>
      <c r="Y6"/>
      <c r="Z6"/>
      <c r="AA6" s="49">
        <v>45657</v>
      </c>
      <c r="AB6" s="49">
        <v>46022</v>
      </c>
      <c r="AM6" s="104">
        <v>98685</v>
      </c>
      <c r="AN6" t="s">
        <v>408</v>
      </c>
      <c r="AO6" t="s">
        <v>406</v>
      </c>
      <c r="AP6" t="s">
        <v>407</v>
      </c>
    </row>
    <row r="7" spans="1:42" x14ac:dyDescent="0.25">
      <c r="A7">
        <v>6</v>
      </c>
      <c r="B7">
        <v>452538</v>
      </c>
      <c r="C7" t="s">
        <v>131</v>
      </c>
      <c r="D7" t="s">
        <v>153</v>
      </c>
      <c r="E7" t="s">
        <v>153</v>
      </c>
      <c r="F7" t="s">
        <v>153</v>
      </c>
      <c r="G7">
        <v>5</v>
      </c>
      <c r="H7">
        <v>3</v>
      </c>
      <c r="I7">
        <v>1382</v>
      </c>
      <c r="J7" t="s">
        <v>157</v>
      </c>
      <c r="K7">
        <v>2019</v>
      </c>
      <c r="L7" t="s">
        <v>387</v>
      </c>
      <c r="M7" t="s">
        <v>158</v>
      </c>
      <c r="N7" t="s">
        <v>159</v>
      </c>
      <c r="O7" t="s">
        <v>160</v>
      </c>
      <c r="Q7">
        <v>6268</v>
      </c>
      <c r="R7">
        <v>5</v>
      </c>
      <c r="S7"/>
      <c r="U7" t="s">
        <v>401</v>
      </c>
      <c r="V7">
        <v>0</v>
      </c>
      <c r="W7" t="s">
        <v>401</v>
      </c>
      <c r="X7">
        <v>0</v>
      </c>
      <c r="Y7"/>
      <c r="Z7"/>
      <c r="AA7" s="49">
        <v>45657</v>
      </c>
      <c r="AB7" s="49">
        <v>46022</v>
      </c>
      <c r="AM7" s="104">
        <v>98685</v>
      </c>
      <c r="AN7" t="s">
        <v>408</v>
      </c>
      <c r="AO7" t="s">
        <v>406</v>
      </c>
      <c r="AP7" t="s">
        <v>407</v>
      </c>
    </row>
    <row r="8" spans="1:42" x14ac:dyDescent="0.25">
      <c r="A8">
        <v>7</v>
      </c>
      <c r="B8">
        <v>452538</v>
      </c>
      <c r="C8" t="s">
        <v>131</v>
      </c>
      <c r="D8" t="s">
        <v>161</v>
      </c>
      <c r="E8" t="s">
        <v>161</v>
      </c>
      <c r="F8" t="s">
        <v>161</v>
      </c>
      <c r="G8">
        <v>5</v>
      </c>
      <c r="H8">
        <v>1</v>
      </c>
      <c r="I8">
        <v>44</v>
      </c>
      <c r="J8" t="s">
        <v>162</v>
      </c>
      <c r="K8">
        <v>2014</v>
      </c>
      <c r="L8" t="s">
        <v>386</v>
      </c>
      <c r="M8" t="s">
        <v>163</v>
      </c>
      <c r="N8" t="s">
        <v>164</v>
      </c>
      <c r="O8" t="s">
        <v>165</v>
      </c>
      <c r="Q8">
        <v>33427</v>
      </c>
      <c r="R8">
        <v>5</v>
      </c>
      <c r="S8"/>
      <c r="U8" t="s">
        <v>401</v>
      </c>
      <c r="V8">
        <v>0</v>
      </c>
      <c r="W8" t="s">
        <v>401</v>
      </c>
      <c r="X8">
        <v>0</v>
      </c>
      <c r="Y8"/>
      <c r="Z8"/>
      <c r="AA8" s="49">
        <v>45657</v>
      </c>
      <c r="AB8" s="49">
        <v>46022</v>
      </c>
      <c r="AM8" s="104">
        <v>98685</v>
      </c>
      <c r="AN8" t="s">
        <v>408</v>
      </c>
      <c r="AO8" t="s">
        <v>406</v>
      </c>
      <c r="AP8" t="s">
        <v>407</v>
      </c>
    </row>
    <row r="9" spans="1:42" x14ac:dyDescent="0.25">
      <c r="A9">
        <v>8</v>
      </c>
      <c r="B9">
        <v>452538</v>
      </c>
      <c r="C9" t="s">
        <v>131</v>
      </c>
      <c r="D9" t="s">
        <v>151</v>
      </c>
      <c r="E9" t="s">
        <v>151</v>
      </c>
      <c r="F9" t="s">
        <v>151</v>
      </c>
      <c r="G9">
        <v>5</v>
      </c>
      <c r="H9">
        <v>1</v>
      </c>
      <c r="I9">
        <v>117</v>
      </c>
      <c r="J9" t="s">
        <v>166</v>
      </c>
      <c r="K9">
        <v>2015</v>
      </c>
      <c r="L9" t="s">
        <v>386</v>
      </c>
      <c r="M9" t="s">
        <v>167</v>
      </c>
      <c r="N9" t="s">
        <v>168</v>
      </c>
      <c r="O9" t="s">
        <v>169</v>
      </c>
      <c r="Q9">
        <v>41783</v>
      </c>
      <c r="R9">
        <v>5</v>
      </c>
      <c r="S9"/>
      <c r="U9" t="s">
        <v>401</v>
      </c>
      <c r="V9">
        <v>0</v>
      </c>
      <c r="W9" t="s">
        <v>401</v>
      </c>
      <c r="X9">
        <v>0</v>
      </c>
      <c r="Y9"/>
      <c r="Z9"/>
      <c r="AA9" s="49">
        <v>45657</v>
      </c>
      <c r="AB9" s="49">
        <v>46022</v>
      </c>
      <c r="AM9" s="104">
        <v>98685</v>
      </c>
      <c r="AN9" t="s">
        <v>408</v>
      </c>
      <c r="AO9" t="s">
        <v>406</v>
      </c>
      <c r="AP9" t="s">
        <v>407</v>
      </c>
    </row>
    <row r="10" spans="1:42" x14ac:dyDescent="0.25">
      <c r="A10">
        <v>9</v>
      </c>
      <c r="B10">
        <v>452538</v>
      </c>
      <c r="C10" t="s">
        <v>131</v>
      </c>
      <c r="D10" t="s">
        <v>170</v>
      </c>
      <c r="E10" t="s">
        <v>170</v>
      </c>
      <c r="F10" t="s">
        <v>170</v>
      </c>
      <c r="G10">
        <v>5</v>
      </c>
      <c r="H10">
        <v>1</v>
      </c>
      <c r="I10">
        <v>44</v>
      </c>
      <c r="J10" t="s">
        <v>171</v>
      </c>
      <c r="K10">
        <v>2013</v>
      </c>
      <c r="L10" t="s">
        <v>387</v>
      </c>
      <c r="M10" t="s">
        <v>172</v>
      </c>
      <c r="N10" t="s">
        <v>173</v>
      </c>
      <c r="O10" t="s">
        <v>174</v>
      </c>
      <c r="Q10">
        <v>38689</v>
      </c>
      <c r="R10">
        <v>5</v>
      </c>
      <c r="S10"/>
      <c r="U10" t="s">
        <v>401</v>
      </c>
      <c r="V10">
        <v>0</v>
      </c>
      <c r="W10" t="s">
        <v>401</v>
      </c>
      <c r="X10">
        <v>0</v>
      </c>
      <c r="Y10"/>
      <c r="Z10"/>
      <c r="AA10" s="49">
        <v>45657</v>
      </c>
      <c r="AB10" s="49">
        <v>46022</v>
      </c>
      <c r="AM10" s="104">
        <v>98685</v>
      </c>
      <c r="AN10" t="s">
        <v>408</v>
      </c>
      <c r="AO10" t="s">
        <v>406</v>
      </c>
      <c r="AP10" t="s">
        <v>407</v>
      </c>
    </row>
    <row r="11" spans="1:42" x14ac:dyDescent="0.25">
      <c r="A11">
        <v>10</v>
      </c>
      <c r="B11">
        <v>452538</v>
      </c>
      <c r="C11" t="s">
        <v>131</v>
      </c>
      <c r="D11" t="s">
        <v>175</v>
      </c>
      <c r="E11" t="s">
        <v>175</v>
      </c>
      <c r="F11" t="s">
        <v>175</v>
      </c>
      <c r="G11">
        <v>5</v>
      </c>
      <c r="H11">
        <v>1</v>
      </c>
      <c r="I11">
        <v>139</v>
      </c>
      <c r="J11" t="s">
        <v>176</v>
      </c>
      <c r="K11">
        <v>2001</v>
      </c>
      <c r="L11" t="s">
        <v>388</v>
      </c>
      <c r="M11" t="s">
        <v>177</v>
      </c>
      <c r="N11" t="s">
        <v>178</v>
      </c>
      <c r="O11" t="s">
        <v>179</v>
      </c>
      <c r="Q11">
        <v>0</v>
      </c>
      <c r="R11">
        <v>5</v>
      </c>
      <c r="S11"/>
      <c r="U11" t="s">
        <v>401</v>
      </c>
      <c r="V11">
        <v>0</v>
      </c>
      <c r="W11" t="s">
        <v>401</v>
      </c>
      <c r="X11">
        <v>0</v>
      </c>
      <c r="Y11"/>
      <c r="Z11"/>
      <c r="AA11" s="49">
        <v>45657</v>
      </c>
      <c r="AB11" s="49">
        <v>46022</v>
      </c>
      <c r="AM11" s="104">
        <v>98685</v>
      </c>
      <c r="AN11" t="s">
        <v>408</v>
      </c>
      <c r="AO11" t="s">
        <v>406</v>
      </c>
      <c r="AP11" t="s">
        <v>407</v>
      </c>
    </row>
    <row r="12" spans="1:42" x14ac:dyDescent="0.25">
      <c r="A12">
        <v>11</v>
      </c>
      <c r="B12">
        <v>452538</v>
      </c>
      <c r="C12" t="s">
        <v>131</v>
      </c>
      <c r="D12" t="s">
        <v>180</v>
      </c>
      <c r="E12" t="s">
        <v>180</v>
      </c>
      <c r="F12" t="s">
        <v>180</v>
      </c>
      <c r="G12">
        <v>5</v>
      </c>
      <c r="H12">
        <v>17</v>
      </c>
      <c r="I12">
        <v>139</v>
      </c>
      <c r="J12" t="s">
        <v>181</v>
      </c>
      <c r="K12">
        <v>2012</v>
      </c>
      <c r="L12" t="s">
        <v>389</v>
      </c>
      <c r="M12" t="s">
        <v>182</v>
      </c>
      <c r="N12" t="s">
        <v>183</v>
      </c>
      <c r="O12" t="s">
        <v>184</v>
      </c>
      <c r="Q12">
        <v>117325</v>
      </c>
      <c r="R12">
        <v>5</v>
      </c>
      <c r="S12"/>
      <c r="U12" t="s">
        <v>401</v>
      </c>
      <c r="V12">
        <v>0</v>
      </c>
      <c r="W12" t="s">
        <v>401</v>
      </c>
      <c r="X12">
        <v>0</v>
      </c>
      <c r="Y12"/>
      <c r="Z12"/>
      <c r="AA12" s="49">
        <v>45657</v>
      </c>
      <c r="AB12" s="49">
        <v>46022</v>
      </c>
      <c r="AM12" s="104">
        <v>98685</v>
      </c>
      <c r="AN12" t="s">
        <v>408</v>
      </c>
      <c r="AO12" t="s">
        <v>406</v>
      </c>
      <c r="AP12" t="s">
        <v>407</v>
      </c>
    </row>
    <row r="13" spans="1:42" x14ac:dyDescent="0.25">
      <c r="A13">
        <v>12</v>
      </c>
      <c r="B13">
        <v>452538</v>
      </c>
      <c r="C13" t="s">
        <v>131</v>
      </c>
      <c r="D13" t="s">
        <v>185</v>
      </c>
      <c r="E13" t="s">
        <v>185</v>
      </c>
      <c r="F13" t="s">
        <v>185</v>
      </c>
      <c r="G13">
        <v>5</v>
      </c>
      <c r="H13">
        <v>17</v>
      </c>
      <c r="I13">
        <v>27</v>
      </c>
      <c r="J13" t="s">
        <v>186</v>
      </c>
      <c r="K13">
        <v>2007</v>
      </c>
      <c r="L13" t="s">
        <v>387</v>
      </c>
      <c r="M13" t="s">
        <v>187</v>
      </c>
      <c r="N13" t="s">
        <v>188</v>
      </c>
      <c r="O13" t="s">
        <v>189</v>
      </c>
      <c r="Q13">
        <v>43168</v>
      </c>
      <c r="R13">
        <v>5</v>
      </c>
      <c r="S13"/>
      <c r="U13" t="s">
        <v>401</v>
      </c>
      <c r="V13">
        <v>0</v>
      </c>
      <c r="W13" t="s">
        <v>401</v>
      </c>
      <c r="X13">
        <v>0</v>
      </c>
      <c r="Y13"/>
      <c r="Z13"/>
      <c r="AA13" s="49">
        <v>45657</v>
      </c>
      <c r="AB13" s="49">
        <v>46022</v>
      </c>
      <c r="AM13" s="104">
        <v>98685</v>
      </c>
      <c r="AN13" t="s">
        <v>408</v>
      </c>
      <c r="AO13" t="s">
        <v>406</v>
      </c>
      <c r="AP13" t="s">
        <v>407</v>
      </c>
    </row>
    <row r="14" spans="1:42" x14ac:dyDescent="0.25">
      <c r="A14">
        <v>13</v>
      </c>
      <c r="B14">
        <v>452538</v>
      </c>
      <c r="C14" t="s">
        <v>131</v>
      </c>
      <c r="D14" t="s">
        <v>190</v>
      </c>
      <c r="E14" t="s">
        <v>190</v>
      </c>
      <c r="F14" t="s">
        <v>190</v>
      </c>
      <c r="G14">
        <v>5</v>
      </c>
      <c r="H14">
        <v>1</v>
      </c>
      <c r="I14">
        <v>44</v>
      </c>
      <c r="J14" t="s">
        <v>191</v>
      </c>
      <c r="K14">
        <v>2014</v>
      </c>
      <c r="L14" t="s">
        <v>390</v>
      </c>
      <c r="M14" t="s">
        <v>192</v>
      </c>
      <c r="N14" t="s">
        <v>193</v>
      </c>
      <c r="O14" t="s">
        <v>194</v>
      </c>
      <c r="Q14">
        <v>43168</v>
      </c>
      <c r="R14">
        <v>5</v>
      </c>
      <c r="S14"/>
      <c r="U14" t="s">
        <v>401</v>
      </c>
      <c r="V14">
        <v>0</v>
      </c>
      <c r="W14" t="s">
        <v>401</v>
      </c>
      <c r="X14">
        <v>0</v>
      </c>
      <c r="Y14"/>
      <c r="Z14"/>
      <c r="AA14" s="49">
        <v>45657</v>
      </c>
      <c r="AB14" s="49">
        <v>46022</v>
      </c>
      <c r="AM14" s="104">
        <v>98685</v>
      </c>
      <c r="AN14" t="s">
        <v>408</v>
      </c>
      <c r="AO14" t="s">
        <v>406</v>
      </c>
      <c r="AP14" t="s">
        <v>407</v>
      </c>
    </row>
    <row r="15" spans="1:42" x14ac:dyDescent="0.25">
      <c r="A15">
        <v>14</v>
      </c>
      <c r="B15">
        <v>452538</v>
      </c>
      <c r="C15" t="s">
        <v>131</v>
      </c>
      <c r="D15" t="s">
        <v>195</v>
      </c>
      <c r="E15" t="s">
        <v>195</v>
      </c>
      <c r="F15" t="s">
        <v>195</v>
      </c>
      <c r="G15">
        <v>5</v>
      </c>
      <c r="H15">
        <v>3</v>
      </c>
      <c r="I15">
        <v>103</v>
      </c>
      <c r="J15" t="s">
        <v>196</v>
      </c>
      <c r="K15">
        <v>2019</v>
      </c>
      <c r="L15" t="s">
        <v>387</v>
      </c>
      <c r="M15" t="s">
        <v>197</v>
      </c>
      <c r="N15" t="s">
        <v>198</v>
      </c>
      <c r="O15" t="s">
        <v>199</v>
      </c>
      <c r="Q15">
        <v>10888</v>
      </c>
      <c r="R15">
        <v>5</v>
      </c>
      <c r="S15"/>
      <c r="U15" t="s">
        <v>401</v>
      </c>
      <c r="V15">
        <v>0</v>
      </c>
      <c r="W15" t="s">
        <v>401</v>
      </c>
      <c r="X15">
        <v>0</v>
      </c>
      <c r="Y15"/>
      <c r="Z15"/>
      <c r="AA15" s="49">
        <v>45657</v>
      </c>
      <c r="AB15" s="49">
        <v>46022</v>
      </c>
      <c r="AM15" s="104">
        <v>98685</v>
      </c>
      <c r="AN15" t="s">
        <v>408</v>
      </c>
      <c r="AO15" t="s">
        <v>406</v>
      </c>
      <c r="AP15" t="s">
        <v>407</v>
      </c>
    </row>
    <row r="16" spans="1:42" x14ac:dyDescent="0.25">
      <c r="A16">
        <v>15</v>
      </c>
      <c r="B16">
        <v>452538</v>
      </c>
      <c r="C16" t="s">
        <v>131</v>
      </c>
      <c r="D16" t="s">
        <v>200</v>
      </c>
      <c r="E16" t="s">
        <v>200</v>
      </c>
      <c r="F16" t="s">
        <v>200</v>
      </c>
      <c r="G16">
        <v>5</v>
      </c>
      <c r="H16">
        <v>1</v>
      </c>
      <c r="I16">
        <v>117</v>
      </c>
      <c r="J16" t="s">
        <v>201</v>
      </c>
      <c r="K16">
        <v>2014</v>
      </c>
      <c r="L16" t="s">
        <v>387</v>
      </c>
      <c r="M16" t="s">
        <v>202</v>
      </c>
      <c r="N16" t="s">
        <v>203</v>
      </c>
      <c r="O16" t="s">
        <v>204</v>
      </c>
      <c r="Q16">
        <v>30008</v>
      </c>
      <c r="R16">
        <v>5</v>
      </c>
      <c r="S16"/>
      <c r="U16" t="s">
        <v>401</v>
      </c>
      <c r="V16">
        <v>0</v>
      </c>
      <c r="W16" t="s">
        <v>401</v>
      </c>
      <c r="X16">
        <v>0</v>
      </c>
      <c r="Y16"/>
      <c r="Z16"/>
      <c r="AA16" s="49">
        <v>45657</v>
      </c>
      <c r="AB16" s="49">
        <v>46022</v>
      </c>
      <c r="AM16" s="104">
        <v>98685</v>
      </c>
      <c r="AN16" t="s">
        <v>408</v>
      </c>
      <c r="AO16" t="s">
        <v>406</v>
      </c>
      <c r="AP16" t="s">
        <v>407</v>
      </c>
    </row>
    <row r="17" spans="1:42" x14ac:dyDescent="0.25">
      <c r="A17">
        <v>16</v>
      </c>
      <c r="B17">
        <v>452538</v>
      </c>
      <c r="C17" t="s">
        <v>131</v>
      </c>
      <c r="D17" t="s">
        <v>205</v>
      </c>
      <c r="E17" t="s">
        <v>205</v>
      </c>
      <c r="F17" t="s">
        <v>205</v>
      </c>
      <c r="G17">
        <v>5</v>
      </c>
      <c r="H17">
        <v>17</v>
      </c>
      <c r="I17">
        <v>13</v>
      </c>
      <c r="J17" t="s">
        <v>206</v>
      </c>
      <c r="K17">
        <v>2017</v>
      </c>
      <c r="L17" t="s">
        <v>387</v>
      </c>
      <c r="M17" t="s">
        <v>207</v>
      </c>
      <c r="N17" t="s">
        <v>208</v>
      </c>
      <c r="O17" t="s">
        <v>209</v>
      </c>
      <c r="Q17">
        <v>76712</v>
      </c>
      <c r="R17">
        <v>5</v>
      </c>
      <c r="S17"/>
      <c r="U17" t="s">
        <v>401</v>
      </c>
      <c r="V17">
        <v>0</v>
      </c>
      <c r="W17" t="s">
        <v>401</v>
      </c>
      <c r="X17">
        <v>0</v>
      </c>
      <c r="Y17"/>
      <c r="Z17"/>
      <c r="AA17" s="49">
        <v>45657</v>
      </c>
      <c r="AB17" s="49">
        <v>46022</v>
      </c>
      <c r="AM17" s="104">
        <v>98685</v>
      </c>
      <c r="AN17" t="s">
        <v>408</v>
      </c>
      <c r="AO17" t="s">
        <v>406</v>
      </c>
      <c r="AP17" t="s">
        <v>407</v>
      </c>
    </row>
    <row r="18" spans="1:42" x14ac:dyDescent="0.25">
      <c r="A18">
        <v>17</v>
      </c>
      <c r="B18">
        <v>452538</v>
      </c>
      <c r="C18" t="s">
        <v>131</v>
      </c>
      <c r="D18" t="s">
        <v>210</v>
      </c>
      <c r="E18" t="s">
        <v>210</v>
      </c>
      <c r="F18" t="s">
        <v>210</v>
      </c>
      <c r="G18">
        <v>5</v>
      </c>
      <c r="H18">
        <v>3</v>
      </c>
      <c r="I18">
        <v>27</v>
      </c>
      <c r="J18" t="s">
        <v>211</v>
      </c>
      <c r="K18">
        <v>2015</v>
      </c>
      <c r="L18" t="s">
        <v>387</v>
      </c>
      <c r="M18" t="s">
        <v>212</v>
      </c>
      <c r="N18" t="s">
        <v>213</v>
      </c>
      <c r="O18" t="s">
        <v>214</v>
      </c>
      <c r="Q18">
        <v>9927</v>
      </c>
      <c r="R18">
        <v>5</v>
      </c>
      <c r="S18"/>
      <c r="U18" t="s">
        <v>401</v>
      </c>
      <c r="V18">
        <v>0</v>
      </c>
      <c r="W18" t="s">
        <v>401</v>
      </c>
      <c r="X18">
        <v>0</v>
      </c>
      <c r="Y18"/>
      <c r="Z18"/>
      <c r="AA18" s="49">
        <v>45657</v>
      </c>
      <c r="AB18" s="49">
        <v>46022</v>
      </c>
      <c r="AM18" s="104">
        <v>98685</v>
      </c>
      <c r="AN18" t="s">
        <v>408</v>
      </c>
      <c r="AO18" t="s">
        <v>406</v>
      </c>
      <c r="AP18" t="s">
        <v>407</v>
      </c>
    </row>
    <row r="19" spans="1:42" x14ac:dyDescent="0.25">
      <c r="A19">
        <v>18</v>
      </c>
      <c r="B19">
        <v>452538</v>
      </c>
      <c r="C19" t="s">
        <v>131</v>
      </c>
      <c r="D19" t="s">
        <v>215</v>
      </c>
      <c r="E19" t="s">
        <v>215</v>
      </c>
      <c r="F19" t="s">
        <v>215</v>
      </c>
      <c r="G19">
        <v>5</v>
      </c>
      <c r="H19">
        <v>3</v>
      </c>
      <c r="I19">
        <v>1382</v>
      </c>
      <c r="J19" t="s">
        <v>216</v>
      </c>
      <c r="K19">
        <v>2023</v>
      </c>
      <c r="L19" t="s">
        <v>387</v>
      </c>
      <c r="M19" t="s">
        <v>217</v>
      </c>
      <c r="N19" t="s">
        <v>218</v>
      </c>
      <c r="O19" t="s">
        <v>219</v>
      </c>
      <c r="Q19">
        <v>9656</v>
      </c>
      <c r="R19">
        <v>5</v>
      </c>
      <c r="S19"/>
      <c r="U19" t="s">
        <v>401</v>
      </c>
      <c r="V19">
        <v>0</v>
      </c>
      <c r="W19" t="s">
        <v>401</v>
      </c>
      <c r="X19">
        <v>0</v>
      </c>
      <c r="Y19"/>
      <c r="Z19"/>
      <c r="AA19" s="49">
        <v>45657</v>
      </c>
      <c r="AB19" s="49">
        <v>46022</v>
      </c>
      <c r="AM19" s="104">
        <v>98685</v>
      </c>
      <c r="AN19" t="s">
        <v>408</v>
      </c>
      <c r="AO19" t="s">
        <v>406</v>
      </c>
      <c r="AP19" t="s">
        <v>407</v>
      </c>
    </row>
    <row r="20" spans="1:42" x14ac:dyDescent="0.25">
      <c r="A20">
        <v>19</v>
      </c>
      <c r="B20">
        <v>452538</v>
      </c>
      <c r="C20" t="s">
        <v>131</v>
      </c>
      <c r="D20" t="s">
        <v>220</v>
      </c>
      <c r="E20" t="s">
        <v>220</v>
      </c>
      <c r="F20" t="s">
        <v>220</v>
      </c>
      <c r="G20">
        <v>5</v>
      </c>
      <c r="H20">
        <v>17</v>
      </c>
      <c r="I20">
        <v>27</v>
      </c>
      <c r="J20" t="s">
        <v>186</v>
      </c>
      <c r="K20">
        <v>2009</v>
      </c>
      <c r="L20" t="s">
        <v>391</v>
      </c>
      <c r="M20" t="s">
        <v>221</v>
      </c>
      <c r="N20" t="s">
        <v>222</v>
      </c>
      <c r="O20" t="s">
        <v>223</v>
      </c>
      <c r="Q20">
        <v>58662</v>
      </c>
      <c r="R20">
        <v>5</v>
      </c>
      <c r="S20"/>
      <c r="U20" t="s">
        <v>401</v>
      </c>
      <c r="V20">
        <v>0</v>
      </c>
      <c r="W20" t="s">
        <v>401</v>
      </c>
      <c r="X20">
        <v>0</v>
      </c>
      <c r="Y20"/>
      <c r="Z20"/>
      <c r="AA20" s="49">
        <v>45657</v>
      </c>
      <c r="AB20" s="49">
        <v>46022</v>
      </c>
      <c r="AM20" s="104">
        <v>98685</v>
      </c>
      <c r="AN20" t="s">
        <v>408</v>
      </c>
      <c r="AO20" t="s">
        <v>406</v>
      </c>
      <c r="AP20" t="s">
        <v>407</v>
      </c>
    </row>
    <row r="21" spans="1:42" x14ac:dyDescent="0.25">
      <c r="A21">
        <v>20</v>
      </c>
      <c r="B21">
        <v>452538</v>
      </c>
      <c r="C21" t="s">
        <v>131</v>
      </c>
      <c r="D21" t="s">
        <v>224</v>
      </c>
      <c r="E21" t="s">
        <v>224</v>
      </c>
      <c r="F21" t="s">
        <v>224</v>
      </c>
      <c r="G21">
        <v>5</v>
      </c>
      <c r="H21">
        <v>17</v>
      </c>
      <c r="I21">
        <v>139</v>
      </c>
      <c r="J21" t="s">
        <v>225</v>
      </c>
      <c r="K21">
        <v>2020</v>
      </c>
      <c r="L21" t="s">
        <v>392</v>
      </c>
      <c r="M21" t="s">
        <v>226</v>
      </c>
      <c r="N21" t="s">
        <v>227</v>
      </c>
      <c r="O21" t="s">
        <v>228</v>
      </c>
      <c r="Q21">
        <v>136678</v>
      </c>
      <c r="R21">
        <v>5</v>
      </c>
      <c r="S21"/>
      <c r="U21" t="s">
        <v>401</v>
      </c>
      <c r="V21">
        <v>0</v>
      </c>
      <c r="W21" t="s">
        <v>401</v>
      </c>
      <c r="X21">
        <v>0</v>
      </c>
      <c r="Y21"/>
      <c r="Z21"/>
      <c r="AA21" s="49">
        <v>45657</v>
      </c>
      <c r="AB21" s="49">
        <v>46022</v>
      </c>
      <c r="AM21" s="104">
        <v>98685</v>
      </c>
      <c r="AN21" t="s">
        <v>408</v>
      </c>
      <c r="AO21" t="s">
        <v>406</v>
      </c>
      <c r="AP21" t="s">
        <v>407</v>
      </c>
    </row>
    <row r="22" spans="1:42" x14ac:dyDescent="0.25">
      <c r="A22">
        <v>21</v>
      </c>
      <c r="B22">
        <v>452538</v>
      </c>
      <c r="C22" t="s">
        <v>131</v>
      </c>
      <c r="D22" t="s">
        <v>229</v>
      </c>
      <c r="E22" t="s">
        <v>229</v>
      </c>
      <c r="F22" t="s">
        <v>229</v>
      </c>
      <c r="G22">
        <v>5</v>
      </c>
      <c r="H22">
        <v>1</v>
      </c>
      <c r="I22">
        <v>137</v>
      </c>
      <c r="J22" t="s">
        <v>230</v>
      </c>
      <c r="K22">
        <v>2019</v>
      </c>
      <c r="L22" t="s">
        <v>393</v>
      </c>
      <c r="M22" t="s">
        <v>231</v>
      </c>
      <c r="N22" t="s">
        <v>232</v>
      </c>
      <c r="O22" t="s">
        <v>233</v>
      </c>
      <c r="Q22">
        <v>63175</v>
      </c>
      <c r="R22">
        <v>5</v>
      </c>
      <c r="S22"/>
      <c r="U22" t="s">
        <v>401</v>
      </c>
      <c r="V22">
        <v>0</v>
      </c>
      <c r="W22" t="s">
        <v>401</v>
      </c>
      <c r="X22">
        <v>0</v>
      </c>
      <c r="Y22"/>
      <c r="Z22"/>
      <c r="AA22" s="49">
        <v>45657</v>
      </c>
      <c r="AB22" s="49">
        <v>46022</v>
      </c>
      <c r="AM22" s="104">
        <v>98685</v>
      </c>
      <c r="AN22" t="s">
        <v>408</v>
      </c>
      <c r="AO22" t="s">
        <v>406</v>
      </c>
      <c r="AP22" t="s">
        <v>412</v>
      </c>
    </row>
    <row r="23" spans="1:42" x14ac:dyDescent="0.25">
      <c r="A23">
        <v>22</v>
      </c>
      <c r="B23">
        <v>452538</v>
      </c>
      <c r="C23" t="s">
        <v>131</v>
      </c>
      <c r="D23" t="s">
        <v>234</v>
      </c>
      <c r="E23" t="s">
        <v>234</v>
      </c>
      <c r="F23" t="s">
        <v>234</v>
      </c>
      <c r="G23">
        <v>5</v>
      </c>
      <c r="H23">
        <v>17</v>
      </c>
      <c r="I23">
        <v>139</v>
      </c>
      <c r="J23" t="s">
        <v>235</v>
      </c>
      <c r="K23">
        <v>2010</v>
      </c>
      <c r="L23" t="s">
        <v>389</v>
      </c>
      <c r="M23" t="s">
        <v>236</v>
      </c>
      <c r="N23" t="s">
        <v>237</v>
      </c>
      <c r="O23" t="s">
        <v>238</v>
      </c>
      <c r="Q23">
        <v>52617</v>
      </c>
      <c r="R23">
        <v>5</v>
      </c>
      <c r="S23"/>
      <c r="U23" t="s">
        <v>401</v>
      </c>
      <c r="V23">
        <v>0</v>
      </c>
      <c r="W23" t="s">
        <v>401</v>
      </c>
      <c r="X23">
        <v>0</v>
      </c>
      <c r="Y23"/>
      <c r="Z23"/>
      <c r="AA23" s="49">
        <v>45657</v>
      </c>
      <c r="AB23" s="49">
        <v>46022</v>
      </c>
      <c r="AM23" s="104">
        <v>98685</v>
      </c>
      <c r="AN23" t="s">
        <v>408</v>
      </c>
      <c r="AO23" t="s">
        <v>406</v>
      </c>
      <c r="AP23" t="s">
        <v>407</v>
      </c>
    </row>
    <row r="24" spans="1:42" x14ac:dyDescent="0.25">
      <c r="A24">
        <v>23</v>
      </c>
      <c r="B24">
        <v>452538</v>
      </c>
      <c r="C24" t="s">
        <v>131</v>
      </c>
      <c r="D24" t="s">
        <v>239</v>
      </c>
      <c r="E24" t="s">
        <v>239</v>
      </c>
      <c r="F24" t="s">
        <v>239</v>
      </c>
      <c r="G24">
        <v>5</v>
      </c>
      <c r="H24">
        <v>10</v>
      </c>
      <c r="I24">
        <v>44</v>
      </c>
      <c r="J24" t="s">
        <v>240</v>
      </c>
      <c r="K24">
        <v>2007</v>
      </c>
      <c r="L24" t="s">
        <v>387</v>
      </c>
      <c r="M24" t="s">
        <v>241</v>
      </c>
      <c r="N24" t="s">
        <v>242</v>
      </c>
      <c r="O24" t="s">
        <v>243</v>
      </c>
      <c r="Q24">
        <v>23465</v>
      </c>
      <c r="R24">
        <v>5</v>
      </c>
      <c r="S24"/>
      <c r="U24" t="s">
        <v>401</v>
      </c>
      <c r="V24">
        <v>0</v>
      </c>
      <c r="W24" t="s">
        <v>401</v>
      </c>
      <c r="X24">
        <v>0</v>
      </c>
      <c r="Y24"/>
      <c r="Z24"/>
      <c r="AA24" s="49">
        <v>45657</v>
      </c>
      <c r="AB24" s="49">
        <v>46022</v>
      </c>
      <c r="AM24" s="104">
        <v>98685</v>
      </c>
      <c r="AN24" t="s">
        <v>408</v>
      </c>
      <c r="AO24" t="s">
        <v>406</v>
      </c>
      <c r="AP24" t="s">
        <v>407</v>
      </c>
    </row>
    <row r="25" spans="1:42" x14ac:dyDescent="0.25">
      <c r="A25">
        <v>24</v>
      </c>
      <c r="B25">
        <v>452538</v>
      </c>
      <c r="C25" t="s">
        <v>131</v>
      </c>
      <c r="D25" t="s">
        <v>244</v>
      </c>
      <c r="E25" t="s">
        <v>244</v>
      </c>
      <c r="F25" t="s">
        <v>244</v>
      </c>
      <c r="G25">
        <v>5</v>
      </c>
      <c r="H25">
        <v>1</v>
      </c>
      <c r="I25">
        <v>117</v>
      </c>
      <c r="J25" t="s">
        <v>166</v>
      </c>
      <c r="K25">
        <v>2010</v>
      </c>
      <c r="L25" t="s">
        <v>387</v>
      </c>
      <c r="M25" t="s">
        <v>245</v>
      </c>
      <c r="N25" t="s">
        <v>246</v>
      </c>
      <c r="O25" t="s">
        <v>247</v>
      </c>
      <c r="Q25">
        <v>30685</v>
      </c>
      <c r="R25">
        <v>5</v>
      </c>
      <c r="S25"/>
      <c r="U25" t="s">
        <v>401</v>
      </c>
      <c r="V25">
        <v>0</v>
      </c>
      <c r="W25" t="s">
        <v>401</v>
      </c>
      <c r="X25">
        <v>0</v>
      </c>
      <c r="Y25"/>
      <c r="Z25"/>
      <c r="AA25" s="49">
        <v>45657</v>
      </c>
      <c r="AB25" s="49">
        <v>46022</v>
      </c>
      <c r="AM25" s="104">
        <v>98685</v>
      </c>
      <c r="AN25" t="s">
        <v>408</v>
      </c>
      <c r="AO25" t="s">
        <v>406</v>
      </c>
      <c r="AP25" t="s">
        <v>407</v>
      </c>
    </row>
    <row r="26" spans="1:42" x14ac:dyDescent="0.25">
      <c r="A26">
        <v>25</v>
      </c>
      <c r="B26">
        <v>452538</v>
      </c>
      <c r="C26" t="s">
        <v>131</v>
      </c>
      <c r="D26" t="s">
        <v>248</v>
      </c>
      <c r="E26" t="s">
        <v>248</v>
      </c>
      <c r="F26" t="s">
        <v>248</v>
      </c>
      <c r="G26">
        <v>5</v>
      </c>
      <c r="H26">
        <v>1</v>
      </c>
      <c r="I26">
        <v>139</v>
      </c>
      <c r="J26" t="s">
        <v>130</v>
      </c>
      <c r="K26">
        <v>2008</v>
      </c>
      <c r="L26" t="s">
        <v>392</v>
      </c>
      <c r="M26" t="s">
        <v>249</v>
      </c>
      <c r="N26" t="s">
        <v>250</v>
      </c>
      <c r="O26" t="s">
        <v>251</v>
      </c>
      <c r="Q26">
        <v>26463</v>
      </c>
      <c r="R26">
        <v>5</v>
      </c>
      <c r="S26"/>
      <c r="U26" t="s">
        <v>401</v>
      </c>
      <c r="V26">
        <v>0</v>
      </c>
      <c r="W26" t="s">
        <v>401</v>
      </c>
      <c r="X26">
        <v>0</v>
      </c>
      <c r="Y26"/>
      <c r="Z26"/>
      <c r="AA26" s="49">
        <v>45657</v>
      </c>
      <c r="AB26" s="49">
        <v>46022</v>
      </c>
      <c r="AM26" s="104">
        <v>98685</v>
      </c>
      <c r="AN26" t="s">
        <v>408</v>
      </c>
      <c r="AO26" t="s">
        <v>406</v>
      </c>
      <c r="AP26" t="s">
        <v>407</v>
      </c>
    </row>
    <row r="27" spans="1:42" x14ac:dyDescent="0.25">
      <c r="A27">
        <v>26</v>
      </c>
      <c r="B27">
        <v>452538</v>
      </c>
      <c r="C27" t="s">
        <v>131</v>
      </c>
      <c r="D27" t="s">
        <v>252</v>
      </c>
      <c r="E27" t="s">
        <v>252</v>
      </c>
      <c r="F27" t="s">
        <v>252</v>
      </c>
      <c r="G27">
        <v>5</v>
      </c>
      <c r="H27">
        <v>17</v>
      </c>
      <c r="I27">
        <v>1084</v>
      </c>
      <c r="J27" t="s">
        <v>253</v>
      </c>
      <c r="K27">
        <v>2016</v>
      </c>
      <c r="L27" t="s">
        <v>385</v>
      </c>
      <c r="M27" t="s">
        <v>254</v>
      </c>
      <c r="N27" t="s">
        <v>255</v>
      </c>
      <c r="O27" t="s">
        <v>256</v>
      </c>
      <c r="Q27">
        <v>97025</v>
      </c>
      <c r="R27">
        <v>5</v>
      </c>
      <c r="S27"/>
      <c r="U27" t="s">
        <v>401</v>
      </c>
      <c r="V27">
        <v>0</v>
      </c>
      <c r="W27" t="s">
        <v>401</v>
      </c>
      <c r="X27">
        <v>0</v>
      </c>
      <c r="Y27"/>
      <c r="Z27"/>
      <c r="AA27" s="49">
        <v>45657</v>
      </c>
      <c r="AB27" s="49">
        <v>46022</v>
      </c>
      <c r="AM27" s="104">
        <v>98685</v>
      </c>
      <c r="AN27" t="s">
        <v>408</v>
      </c>
      <c r="AO27" t="s">
        <v>406</v>
      </c>
      <c r="AP27" t="s">
        <v>407</v>
      </c>
    </row>
    <row r="28" spans="1:42" x14ac:dyDescent="0.25">
      <c r="A28">
        <v>27</v>
      </c>
      <c r="B28">
        <v>452538</v>
      </c>
      <c r="C28" t="s">
        <v>131</v>
      </c>
      <c r="D28" t="s">
        <v>257</v>
      </c>
      <c r="E28" t="s">
        <v>257</v>
      </c>
      <c r="F28" t="s">
        <v>257</v>
      </c>
      <c r="G28">
        <v>5</v>
      </c>
      <c r="H28">
        <v>3</v>
      </c>
      <c r="I28">
        <v>84</v>
      </c>
      <c r="J28" t="s">
        <v>258</v>
      </c>
      <c r="K28">
        <v>2021</v>
      </c>
      <c r="L28" t="s">
        <v>386</v>
      </c>
      <c r="M28" t="s">
        <v>259</v>
      </c>
      <c r="N28" t="s">
        <v>259</v>
      </c>
      <c r="O28" t="s">
        <v>260</v>
      </c>
      <c r="Q28">
        <v>17147</v>
      </c>
      <c r="R28">
        <v>5</v>
      </c>
      <c r="S28"/>
      <c r="U28" t="s">
        <v>401</v>
      </c>
      <c r="V28">
        <v>0</v>
      </c>
      <c r="W28" t="s">
        <v>401</v>
      </c>
      <c r="X28">
        <v>0</v>
      </c>
      <c r="Y28"/>
      <c r="Z28"/>
      <c r="AA28" s="49">
        <v>45657</v>
      </c>
      <c r="AB28" s="49">
        <v>46022</v>
      </c>
      <c r="AM28" s="104">
        <v>98685</v>
      </c>
      <c r="AN28" t="s">
        <v>408</v>
      </c>
      <c r="AO28" t="s">
        <v>406</v>
      </c>
      <c r="AP28" t="s">
        <v>407</v>
      </c>
    </row>
    <row r="29" spans="1:42" x14ac:dyDescent="0.25">
      <c r="A29">
        <v>28</v>
      </c>
      <c r="B29">
        <v>452538</v>
      </c>
      <c r="C29" t="s">
        <v>131</v>
      </c>
      <c r="D29" t="s">
        <v>261</v>
      </c>
      <c r="E29" t="s">
        <v>261</v>
      </c>
      <c r="F29" t="s">
        <v>261</v>
      </c>
      <c r="G29">
        <v>5</v>
      </c>
      <c r="H29">
        <v>1</v>
      </c>
      <c r="I29">
        <v>117</v>
      </c>
      <c r="J29" t="s">
        <v>201</v>
      </c>
      <c r="K29">
        <v>2014</v>
      </c>
      <c r="L29" t="s">
        <v>385</v>
      </c>
      <c r="M29" t="s">
        <v>262</v>
      </c>
      <c r="N29" t="s">
        <v>263</v>
      </c>
      <c r="O29" t="s">
        <v>264</v>
      </c>
      <c r="Q29">
        <v>31587</v>
      </c>
      <c r="R29">
        <v>5</v>
      </c>
      <c r="S29"/>
      <c r="U29" t="s">
        <v>401</v>
      </c>
      <c r="V29">
        <v>0</v>
      </c>
      <c r="W29" t="s">
        <v>401</v>
      </c>
      <c r="X29">
        <v>0</v>
      </c>
      <c r="Y29"/>
      <c r="Z29"/>
      <c r="AA29" s="49">
        <v>45657</v>
      </c>
      <c r="AB29" s="49">
        <v>46022</v>
      </c>
      <c r="AM29" s="104">
        <v>98685</v>
      </c>
      <c r="AN29" t="s">
        <v>408</v>
      </c>
      <c r="AO29" t="s">
        <v>406</v>
      </c>
      <c r="AP29" t="s">
        <v>407</v>
      </c>
    </row>
    <row r="30" spans="1:42" x14ac:dyDescent="0.25">
      <c r="A30">
        <v>29</v>
      </c>
      <c r="B30">
        <v>452538</v>
      </c>
      <c r="C30" t="s">
        <v>131</v>
      </c>
      <c r="D30" t="s">
        <v>265</v>
      </c>
      <c r="E30" t="s">
        <v>265</v>
      </c>
      <c r="F30" t="s">
        <v>265</v>
      </c>
      <c r="G30">
        <v>5</v>
      </c>
      <c r="H30">
        <v>1</v>
      </c>
      <c r="I30">
        <v>1341</v>
      </c>
      <c r="J30" t="s">
        <v>266</v>
      </c>
      <c r="K30">
        <v>2015</v>
      </c>
      <c r="L30" t="s">
        <v>386</v>
      </c>
      <c r="M30" t="s">
        <v>267</v>
      </c>
      <c r="N30" t="s">
        <v>268</v>
      </c>
      <c r="O30" t="s">
        <v>269</v>
      </c>
      <c r="Q30">
        <v>50295</v>
      </c>
      <c r="R30">
        <v>5</v>
      </c>
      <c r="S30"/>
      <c r="U30" t="s">
        <v>401</v>
      </c>
      <c r="V30">
        <v>0</v>
      </c>
      <c r="W30" t="s">
        <v>401</v>
      </c>
      <c r="X30">
        <v>0</v>
      </c>
      <c r="Y30"/>
      <c r="Z30"/>
      <c r="AA30" s="49">
        <v>45657</v>
      </c>
      <c r="AB30" s="49">
        <v>46022</v>
      </c>
      <c r="AM30" s="104">
        <v>98685</v>
      </c>
      <c r="AN30" t="s">
        <v>408</v>
      </c>
      <c r="AO30" t="s">
        <v>406</v>
      </c>
      <c r="AP30" t="s">
        <v>407</v>
      </c>
    </row>
    <row r="31" spans="1:42" x14ac:dyDescent="0.25">
      <c r="A31">
        <v>30</v>
      </c>
      <c r="B31">
        <v>452538</v>
      </c>
      <c r="C31" t="s">
        <v>131</v>
      </c>
      <c r="D31" t="s">
        <v>270</v>
      </c>
      <c r="E31" t="s">
        <v>270</v>
      </c>
      <c r="F31" t="s">
        <v>270</v>
      </c>
      <c r="G31">
        <v>5</v>
      </c>
      <c r="H31">
        <v>3</v>
      </c>
      <c r="I31">
        <v>1385</v>
      </c>
      <c r="J31" t="s">
        <v>271</v>
      </c>
      <c r="K31">
        <v>2017</v>
      </c>
      <c r="L31" t="s">
        <v>392</v>
      </c>
      <c r="M31" t="s">
        <v>272</v>
      </c>
      <c r="N31" t="s">
        <v>273</v>
      </c>
      <c r="O31" t="s">
        <v>274</v>
      </c>
      <c r="Q31">
        <v>9500</v>
      </c>
      <c r="R31">
        <v>5</v>
      </c>
      <c r="S31"/>
      <c r="U31" t="s">
        <v>401</v>
      </c>
      <c r="V31">
        <v>0</v>
      </c>
      <c r="W31" t="s">
        <v>401</v>
      </c>
      <c r="X31">
        <v>0</v>
      </c>
      <c r="Y31"/>
      <c r="Z31"/>
      <c r="AA31" s="49">
        <v>45657</v>
      </c>
      <c r="AB31" s="49">
        <v>46022</v>
      </c>
      <c r="AM31" s="104">
        <v>98685</v>
      </c>
      <c r="AN31" t="s">
        <v>408</v>
      </c>
      <c r="AO31" t="s">
        <v>406</v>
      </c>
      <c r="AP31" t="s">
        <v>407</v>
      </c>
    </row>
    <row r="32" spans="1:42" x14ac:dyDescent="0.25">
      <c r="A32">
        <v>31</v>
      </c>
      <c r="B32">
        <v>452538</v>
      </c>
      <c r="C32" t="s">
        <v>131</v>
      </c>
      <c r="D32" t="s">
        <v>275</v>
      </c>
      <c r="E32" t="s">
        <v>275</v>
      </c>
      <c r="F32" t="s">
        <v>275</v>
      </c>
      <c r="G32">
        <v>5</v>
      </c>
      <c r="H32">
        <v>17</v>
      </c>
      <c r="I32">
        <v>139</v>
      </c>
      <c r="J32" t="s">
        <v>235</v>
      </c>
      <c r="K32">
        <v>2005</v>
      </c>
      <c r="L32" t="s">
        <v>386</v>
      </c>
      <c r="M32" t="s">
        <v>276</v>
      </c>
      <c r="N32" t="s">
        <v>277</v>
      </c>
      <c r="O32" t="s">
        <v>278</v>
      </c>
      <c r="Q32">
        <v>47500</v>
      </c>
      <c r="R32">
        <v>5</v>
      </c>
      <c r="S32"/>
      <c r="U32" t="s">
        <v>401</v>
      </c>
      <c r="V32">
        <v>0</v>
      </c>
      <c r="W32" t="s">
        <v>401</v>
      </c>
      <c r="X32">
        <v>0</v>
      </c>
      <c r="Y32"/>
      <c r="Z32"/>
      <c r="AA32" s="49">
        <v>45657</v>
      </c>
      <c r="AB32" s="49">
        <v>46022</v>
      </c>
      <c r="AM32" s="104">
        <v>98685</v>
      </c>
      <c r="AN32" t="s">
        <v>408</v>
      </c>
      <c r="AO32" t="s">
        <v>406</v>
      </c>
      <c r="AP32" t="s">
        <v>407</v>
      </c>
    </row>
    <row r="33" spans="1:42" x14ac:dyDescent="0.25">
      <c r="A33">
        <v>32</v>
      </c>
      <c r="B33">
        <v>452538</v>
      </c>
      <c r="C33" t="s">
        <v>131</v>
      </c>
      <c r="D33" t="s">
        <v>279</v>
      </c>
      <c r="E33" t="s">
        <v>279</v>
      </c>
      <c r="F33" t="s">
        <v>279</v>
      </c>
      <c r="G33">
        <v>5</v>
      </c>
      <c r="H33">
        <v>1</v>
      </c>
      <c r="I33">
        <v>139</v>
      </c>
      <c r="J33" t="s">
        <v>130</v>
      </c>
      <c r="K33">
        <v>2008</v>
      </c>
      <c r="L33" t="s">
        <v>385</v>
      </c>
      <c r="M33" t="s">
        <v>280</v>
      </c>
      <c r="N33" t="s">
        <v>281</v>
      </c>
      <c r="O33" t="s">
        <v>282</v>
      </c>
      <c r="Q33">
        <v>38000</v>
      </c>
      <c r="R33">
        <v>5</v>
      </c>
      <c r="S33"/>
      <c r="U33" t="s">
        <v>401</v>
      </c>
      <c r="V33">
        <v>0</v>
      </c>
      <c r="W33" t="s">
        <v>401</v>
      </c>
      <c r="X33">
        <v>0</v>
      </c>
      <c r="Y33"/>
      <c r="Z33"/>
      <c r="AA33" s="49">
        <v>45657</v>
      </c>
      <c r="AB33" s="49">
        <v>46022</v>
      </c>
      <c r="AM33" s="104">
        <v>98685</v>
      </c>
      <c r="AN33" t="s">
        <v>408</v>
      </c>
      <c r="AO33" t="s">
        <v>406</v>
      </c>
      <c r="AP33" t="s">
        <v>407</v>
      </c>
    </row>
    <row r="34" spans="1:42" x14ac:dyDescent="0.25">
      <c r="A34">
        <v>33</v>
      </c>
      <c r="B34">
        <v>452538</v>
      </c>
      <c r="C34" t="s">
        <v>131</v>
      </c>
      <c r="D34" t="s">
        <v>283</v>
      </c>
      <c r="E34" t="s">
        <v>283</v>
      </c>
      <c r="F34" t="s">
        <v>283</v>
      </c>
      <c r="G34">
        <v>5</v>
      </c>
      <c r="H34">
        <v>1</v>
      </c>
      <c r="I34">
        <v>44</v>
      </c>
      <c r="J34" t="s">
        <v>191</v>
      </c>
      <c r="K34">
        <v>2008</v>
      </c>
      <c r="L34" t="s">
        <v>394</v>
      </c>
      <c r="M34" t="s">
        <v>284</v>
      </c>
      <c r="N34" t="s">
        <v>285</v>
      </c>
      <c r="O34" t="s">
        <v>286</v>
      </c>
      <c r="Q34">
        <v>36100</v>
      </c>
      <c r="R34">
        <v>5</v>
      </c>
      <c r="S34"/>
      <c r="U34" t="s">
        <v>401</v>
      </c>
      <c r="V34">
        <v>0</v>
      </c>
      <c r="W34" t="s">
        <v>401</v>
      </c>
      <c r="X34">
        <v>0</v>
      </c>
      <c r="Y34"/>
      <c r="Z34"/>
      <c r="AA34" s="49">
        <v>45657</v>
      </c>
      <c r="AB34" s="49">
        <v>46022</v>
      </c>
      <c r="AM34" s="104">
        <v>98685</v>
      </c>
      <c r="AN34" t="s">
        <v>408</v>
      </c>
      <c r="AO34" t="s">
        <v>406</v>
      </c>
      <c r="AP34" t="s">
        <v>407</v>
      </c>
    </row>
    <row r="35" spans="1:42" x14ac:dyDescent="0.25">
      <c r="A35">
        <v>34</v>
      </c>
      <c r="B35">
        <v>452538</v>
      </c>
      <c r="C35" t="s">
        <v>131</v>
      </c>
      <c r="D35" t="s">
        <v>287</v>
      </c>
      <c r="E35" t="s">
        <v>287</v>
      </c>
      <c r="F35" t="s">
        <v>287</v>
      </c>
      <c r="G35">
        <v>5</v>
      </c>
      <c r="H35">
        <v>3</v>
      </c>
      <c r="I35">
        <v>44</v>
      </c>
      <c r="J35" t="s">
        <v>133</v>
      </c>
      <c r="K35">
        <v>2013</v>
      </c>
      <c r="L35" t="s">
        <v>395</v>
      </c>
      <c r="M35" t="s">
        <v>288</v>
      </c>
      <c r="N35" t="s">
        <v>289</v>
      </c>
      <c r="O35" t="s">
        <v>290</v>
      </c>
      <c r="Q35">
        <v>76000</v>
      </c>
      <c r="R35">
        <v>5</v>
      </c>
      <c r="S35"/>
      <c r="U35" t="s">
        <v>401</v>
      </c>
      <c r="V35">
        <v>0</v>
      </c>
      <c r="W35" t="s">
        <v>401</v>
      </c>
      <c r="X35">
        <v>0</v>
      </c>
      <c r="Y35"/>
      <c r="Z35"/>
      <c r="AA35" s="49">
        <v>45657</v>
      </c>
      <c r="AB35" s="49">
        <v>46022</v>
      </c>
      <c r="AM35" s="104">
        <v>98685</v>
      </c>
      <c r="AN35" t="s">
        <v>408</v>
      </c>
      <c r="AO35" t="s">
        <v>406</v>
      </c>
      <c r="AP35" t="s">
        <v>407</v>
      </c>
    </row>
    <row r="36" spans="1:42" x14ac:dyDescent="0.25">
      <c r="A36">
        <v>35</v>
      </c>
      <c r="B36">
        <v>452538</v>
      </c>
      <c r="C36" t="s">
        <v>131</v>
      </c>
      <c r="D36" t="s">
        <v>291</v>
      </c>
      <c r="E36" t="s">
        <v>291</v>
      </c>
      <c r="F36" t="s">
        <v>291</v>
      </c>
      <c r="G36">
        <v>5</v>
      </c>
      <c r="H36">
        <v>1</v>
      </c>
      <c r="I36">
        <v>137</v>
      </c>
      <c r="J36" t="s">
        <v>292</v>
      </c>
      <c r="K36">
        <v>2012</v>
      </c>
      <c r="L36" t="s">
        <v>389</v>
      </c>
      <c r="M36" t="s">
        <v>293</v>
      </c>
      <c r="N36" t="s">
        <v>294</v>
      </c>
      <c r="O36" t="s">
        <v>295</v>
      </c>
      <c r="Q36">
        <v>0</v>
      </c>
      <c r="R36">
        <v>5</v>
      </c>
      <c r="S36"/>
      <c r="U36" t="s">
        <v>401</v>
      </c>
      <c r="V36">
        <v>0</v>
      </c>
      <c r="W36" t="s">
        <v>401</v>
      </c>
      <c r="X36">
        <v>0</v>
      </c>
      <c r="Y36"/>
      <c r="Z36"/>
      <c r="AA36" s="49">
        <v>45657</v>
      </c>
      <c r="AB36" s="49">
        <v>46022</v>
      </c>
      <c r="AM36" s="104">
        <v>98685</v>
      </c>
      <c r="AN36" t="s">
        <v>408</v>
      </c>
      <c r="AO36" t="s">
        <v>406</v>
      </c>
      <c r="AP36" t="s">
        <v>407</v>
      </c>
    </row>
    <row r="37" spans="1:42" x14ac:dyDescent="0.25">
      <c r="A37">
        <v>36</v>
      </c>
      <c r="B37">
        <v>452538</v>
      </c>
      <c r="C37" t="s">
        <v>131</v>
      </c>
      <c r="D37" t="s">
        <v>296</v>
      </c>
      <c r="E37" t="s">
        <v>296</v>
      </c>
      <c r="F37" t="s">
        <v>296</v>
      </c>
      <c r="G37">
        <v>5</v>
      </c>
      <c r="H37">
        <v>3</v>
      </c>
      <c r="I37">
        <v>44</v>
      </c>
      <c r="J37" t="s">
        <v>297</v>
      </c>
      <c r="K37">
        <v>2013</v>
      </c>
      <c r="L37" t="s">
        <v>385</v>
      </c>
      <c r="M37" t="s">
        <v>298</v>
      </c>
      <c r="N37" t="s">
        <v>299</v>
      </c>
      <c r="O37" t="s">
        <v>300</v>
      </c>
      <c r="Q37">
        <v>76000</v>
      </c>
      <c r="R37">
        <v>5</v>
      </c>
      <c r="S37"/>
      <c r="U37" t="s">
        <v>401</v>
      </c>
      <c r="V37">
        <v>0</v>
      </c>
      <c r="W37" t="s">
        <v>401</v>
      </c>
      <c r="X37">
        <v>0</v>
      </c>
      <c r="Y37"/>
      <c r="Z37"/>
      <c r="AA37" s="49">
        <v>45657</v>
      </c>
      <c r="AB37" s="49">
        <v>46022</v>
      </c>
      <c r="AM37" s="104">
        <v>98685</v>
      </c>
      <c r="AN37" t="s">
        <v>408</v>
      </c>
      <c r="AO37" t="s">
        <v>406</v>
      </c>
      <c r="AP37" t="s">
        <v>407</v>
      </c>
    </row>
    <row r="38" spans="1:42" x14ac:dyDescent="0.25">
      <c r="A38">
        <v>37</v>
      </c>
      <c r="B38">
        <v>452538</v>
      </c>
      <c r="C38" t="s">
        <v>131</v>
      </c>
      <c r="D38" t="s">
        <v>301</v>
      </c>
      <c r="E38" t="s">
        <v>301</v>
      </c>
      <c r="F38" t="s">
        <v>301</v>
      </c>
      <c r="G38">
        <v>5</v>
      </c>
      <c r="H38">
        <v>1</v>
      </c>
      <c r="I38">
        <v>44</v>
      </c>
      <c r="J38" t="s">
        <v>302</v>
      </c>
      <c r="K38">
        <v>2015</v>
      </c>
      <c r="L38" t="s">
        <v>387</v>
      </c>
      <c r="M38" t="s">
        <v>303</v>
      </c>
      <c r="N38" t="s">
        <v>304</v>
      </c>
      <c r="O38" t="s">
        <v>305</v>
      </c>
      <c r="Q38">
        <v>47500</v>
      </c>
      <c r="R38">
        <v>5</v>
      </c>
      <c r="S38"/>
      <c r="U38" t="s">
        <v>401</v>
      </c>
      <c r="V38">
        <v>0</v>
      </c>
      <c r="W38" t="s">
        <v>401</v>
      </c>
      <c r="X38">
        <v>0</v>
      </c>
      <c r="Y38"/>
      <c r="Z38"/>
      <c r="AA38" s="49">
        <v>45657</v>
      </c>
      <c r="AB38" s="49">
        <v>46022</v>
      </c>
      <c r="AM38" s="104">
        <v>98685</v>
      </c>
      <c r="AN38" t="s">
        <v>408</v>
      </c>
      <c r="AO38" t="s">
        <v>406</v>
      </c>
      <c r="AP38" t="s">
        <v>407</v>
      </c>
    </row>
    <row r="39" spans="1:42" x14ac:dyDescent="0.25">
      <c r="A39">
        <v>38</v>
      </c>
      <c r="B39">
        <v>452538</v>
      </c>
      <c r="C39" t="s">
        <v>131</v>
      </c>
      <c r="D39" t="s">
        <v>306</v>
      </c>
      <c r="E39" t="s">
        <v>306</v>
      </c>
      <c r="F39" t="s">
        <v>306</v>
      </c>
      <c r="G39">
        <v>5</v>
      </c>
      <c r="H39">
        <v>1</v>
      </c>
      <c r="I39">
        <v>44</v>
      </c>
      <c r="J39" t="s">
        <v>191</v>
      </c>
      <c r="K39">
        <v>2009</v>
      </c>
      <c r="L39" t="s">
        <v>396</v>
      </c>
      <c r="M39" t="s">
        <v>307</v>
      </c>
      <c r="N39" t="s">
        <v>308</v>
      </c>
      <c r="O39" t="s">
        <v>309</v>
      </c>
      <c r="Q39">
        <v>28500</v>
      </c>
      <c r="R39">
        <v>5</v>
      </c>
      <c r="S39"/>
      <c r="U39" t="s">
        <v>401</v>
      </c>
      <c r="V39">
        <v>0</v>
      </c>
      <c r="W39" t="s">
        <v>401</v>
      </c>
      <c r="X39">
        <v>0</v>
      </c>
      <c r="Y39"/>
      <c r="Z39"/>
      <c r="AA39" s="49">
        <v>45657</v>
      </c>
      <c r="AB39" s="49">
        <v>46022</v>
      </c>
      <c r="AM39" s="104">
        <v>98685</v>
      </c>
      <c r="AN39" t="s">
        <v>408</v>
      </c>
      <c r="AO39" t="s">
        <v>406</v>
      </c>
      <c r="AP39" t="s">
        <v>407</v>
      </c>
    </row>
    <row r="40" spans="1:42" x14ac:dyDescent="0.25">
      <c r="A40">
        <v>39</v>
      </c>
      <c r="B40">
        <v>452538</v>
      </c>
      <c r="C40" t="s">
        <v>131</v>
      </c>
      <c r="D40" t="s">
        <v>310</v>
      </c>
      <c r="E40" t="s">
        <v>310</v>
      </c>
      <c r="F40" t="s">
        <v>310</v>
      </c>
      <c r="G40">
        <v>5</v>
      </c>
      <c r="H40">
        <v>1</v>
      </c>
      <c r="I40">
        <v>139</v>
      </c>
      <c r="J40" t="s">
        <v>311</v>
      </c>
      <c r="K40">
        <v>2020</v>
      </c>
      <c r="L40" t="s">
        <v>397</v>
      </c>
      <c r="M40" t="s">
        <v>312</v>
      </c>
      <c r="N40" t="s">
        <v>313</v>
      </c>
      <c r="O40" t="s">
        <v>314</v>
      </c>
      <c r="Q40">
        <v>104500</v>
      </c>
      <c r="R40">
        <v>5</v>
      </c>
      <c r="S40"/>
      <c r="U40" t="s">
        <v>401</v>
      </c>
      <c r="V40">
        <v>0</v>
      </c>
      <c r="W40" t="s">
        <v>401</v>
      </c>
      <c r="X40">
        <v>0</v>
      </c>
      <c r="Y40"/>
      <c r="Z40"/>
      <c r="AA40" s="49">
        <v>45657</v>
      </c>
      <c r="AB40" s="49">
        <v>46022</v>
      </c>
      <c r="AM40" s="104">
        <v>98685</v>
      </c>
      <c r="AN40" t="s">
        <v>408</v>
      </c>
      <c r="AO40" t="s">
        <v>406</v>
      </c>
      <c r="AP40" t="s">
        <v>407</v>
      </c>
    </row>
    <row r="41" spans="1:42" x14ac:dyDescent="0.25">
      <c r="A41">
        <v>40</v>
      </c>
      <c r="B41">
        <v>452538</v>
      </c>
      <c r="C41" t="s">
        <v>131</v>
      </c>
      <c r="D41" t="s">
        <v>315</v>
      </c>
      <c r="E41" t="s">
        <v>315</v>
      </c>
      <c r="F41" t="s">
        <v>315</v>
      </c>
      <c r="G41">
        <v>5</v>
      </c>
      <c r="H41">
        <v>1</v>
      </c>
      <c r="I41">
        <v>28</v>
      </c>
      <c r="J41" t="s">
        <v>316</v>
      </c>
      <c r="K41">
        <v>2016</v>
      </c>
      <c r="L41" t="s">
        <v>386</v>
      </c>
      <c r="M41" t="s">
        <v>317</v>
      </c>
      <c r="N41" t="s">
        <v>318</v>
      </c>
      <c r="O41" t="s">
        <v>319</v>
      </c>
      <c r="Q41">
        <v>45266</v>
      </c>
      <c r="R41">
        <v>5</v>
      </c>
      <c r="S41"/>
      <c r="U41" t="s">
        <v>401</v>
      </c>
      <c r="V41">
        <v>0</v>
      </c>
      <c r="W41" t="s">
        <v>401</v>
      </c>
      <c r="X41">
        <v>0</v>
      </c>
      <c r="Y41"/>
      <c r="Z41"/>
      <c r="AA41" s="49">
        <v>45657</v>
      </c>
      <c r="AB41" s="49">
        <v>46022</v>
      </c>
      <c r="AM41" s="104">
        <v>98685</v>
      </c>
      <c r="AN41" t="s">
        <v>408</v>
      </c>
      <c r="AO41" t="s">
        <v>406</v>
      </c>
      <c r="AP41" t="s">
        <v>407</v>
      </c>
    </row>
    <row r="42" spans="1:42" x14ac:dyDescent="0.25">
      <c r="A42">
        <v>41</v>
      </c>
      <c r="B42">
        <v>452538</v>
      </c>
      <c r="C42" t="s">
        <v>131</v>
      </c>
      <c r="D42" t="s">
        <v>320</v>
      </c>
      <c r="E42" t="s">
        <v>320</v>
      </c>
      <c r="F42" t="s">
        <v>320</v>
      </c>
      <c r="G42">
        <v>5</v>
      </c>
      <c r="H42">
        <v>17</v>
      </c>
      <c r="I42">
        <v>27</v>
      </c>
      <c r="J42" t="s">
        <v>321</v>
      </c>
      <c r="K42">
        <v>2019</v>
      </c>
      <c r="L42" t="s">
        <v>389</v>
      </c>
      <c r="M42" t="s">
        <v>322</v>
      </c>
      <c r="N42" t="s">
        <v>323</v>
      </c>
      <c r="O42" t="s">
        <v>324</v>
      </c>
      <c r="Q42">
        <v>194398</v>
      </c>
      <c r="R42">
        <v>5</v>
      </c>
      <c r="S42"/>
      <c r="U42" t="s">
        <v>401</v>
      </c>
      <c r="V42">
        <v>0</v>
      </c>
      <c r="W42" t="s">
        <v>401</v>
      </c>
      <c r="X42">
        <v>0</v>
      </c>
      <c r="Y42"/>
      <c r="Z42"/>
      <c r="AA42" s="49">
        <v>45657</v>
      </c>
      <c r="AB42" s="49">
        <v>46022</v>
      </c>
      <c r="AM42" s="104">
        <v>98685</v>
      </c>
      <c r="AN42" t="s">
        <v>408</v>
      </c>
      <c r="AO42" t="s">
        <v>406</v>
      </c>
      <c r="AP42" t="s">
        <v>407</v>
      </c>
    </row>
    <row r="43" spans="1:42" x14ac:dyDescent="0.25">
      <c r="A43">
        <v>42</v>
      </c>
      <c r="B43">
        <v>452538</v>
      </c>
      <c r="C43" t="s">
        <v>131</v>
      </c>
      <c r="D43" t="s">
        <v>325</v>
      </c>
      <c r="E43" t="s">
        <v>325</v>
      </c>
      <c r="F43" t="s">
        <v>325</v>
      </c>
      <c r="G43">
        <v>5</v>
      </c>
      <c r="H43">
        <v>17</v>
      </c>
      <c r="I43">
        <v>35</v>
      </c>
      <c r="J43" t="s">
        <v>326</v>
      </c>
      <c r="K43">
        <v>2014</v>
      </c>
      <c r="L43" t="s">
        <v>389</v>
      </c>
      <c r="M43" t="s">
        <v>327</v>
      </c>
      <c r="N43" t="s">
        <v>328</v>
      </c>
      <c r="O43" t="s">
        <v>329</v>
      </c>
      <c r="Q43">
        <v>130862</v>
      </c>
      <c r="R43">
        <v>5</v>
      </c>
      <c r="S43"/>
      <c r="U43" t="s">
        <v>401</v>
      </c>
      <c r="V43">
        <v>0</v>
      </c>
      <c r="W43" t="s">
        <v>401</v>
      </c>
      <c r="X43">
        <v>0</v>
      </c>
      <c r="Y43"/>
      <c r="Z43"/>
      <c r="AA43" s="49">
        <v>45657</v>
      </c>
      <c r="AB43" s="49">
        <v>46022</v>
      </c>
      <c r="AM43" s="104">
        <v>98685</v>
      </c>
      <c r="AN43" t="s">
        <v>408</v>
      </c>
      <c r="AO43" t="s">
        <v>406</v>
      </c>
      <c r="AP43" t="s">
        <v>407</v>
      </c>
    </row>
    <row r="44" spans="1:42" x14ac:dyDescent="0.25">
      <c r="A44">
        <v>43</v>
      </c>
      <c r="B44">
        <v>452538</v>
      </c>
      <c r="C44" t="s">
        <v>131</v>
      </c>
      <c r="D44" t="s">
        <v>320</v>
      </c>
      <c r="E44" t="s">
        <v>320</v>
      </c>
      <c r="F44" t="s">
        <v>320</v>
      </c>
      <c r="G44">
        <v>5</v>
      </c>
      <c r="H44">
        <v>17</v>
      </c>
      <c r="I44">
        <v>139</v>
      </c>
      <c r="J44" t="s">
        <v>330</v>
      </c>
      <c r="K44">
        <v>2017</v>
      </c>
      <c r="L44" t="s">
        <v>395</v>
      </c>
      <c r="M44" t="s">
        <v>331</v>
      </c>
      <c r="N44" t="s">
        <v>332</v>
      </c>
      <c r="O44" t="s">
        <v>333</v>
      </c>
      <c r="Q44">
        <v>325802</v>
      </c>
      <c r="R44">
        <v>5</v>
      </c>
      <c r="S44"/>
      <c r="U44" t="s">
        <v>401</v>
      </c>
      <c r="V44">
        <v>0</v>
      </c>
      <c r="W44" t="s">
        <v>401</v>
      </c>
      <c r="X44">
        <v>0</v>
      </c>
      <c r="Y44"/>
      <c r="Z44"/>
      <c r="AA44" s="49">
        <v>45657</v>
      </c>
      <c r="AB44" s="49">
        <v>46022</v>
      </c>
      <c r="AM44" s="104">
        <v>98685</v>
      </c>
      <c r="AN44" t="s">
        <v>408</v>
      </c>
      <c r="AO44" t="s">
        <v>406</v>
      </c>
      <c r="AP44" t="s">
        <v>407</v>
      </c>
    </row>
    <row r="45" spans="1:42" x14ac:dyDescent="0.25">
      <c r="A45">
        <v>44</v>
      </c>
      <c r="B45">
        <v>452538</v>
      </c>
      <c r="C45" t="s">
        <v>131</v>
      </c>
      <c r="D45" t="s">
        <v>334</v>
      </c>
      <c r="E45" t="s">
        <v>334</v>
      </c>
      <c r="F45" t="s">
        <v>334</v>
      </c>
      <c r="G45">
        <v>5</v>
      </c>
      <c r="H45">
        <v>3</v>
      </c>
      <c r="I45">
        <v>103</v>
      </c>
      <c r="J45" t="s">
        <v>335</v>
      </c>
      <c r="K45">
        <v>2021</v>
      </c>
      <c r="L45" t="s">
        <v>398</v>
      </c>
      <c r="M45" t="s">
        <v>336</v>
      </c>
      <c r="N45" t="s">
        <v>337</v>
      </c>
      <c r="O45" t="s">
        <v>338</v>
      </c>
      <c r="Q45">
        <v>12825</v>
      </c>
      <c r="R45">
        <v>5</v>
      </c>
      <c r="S45"/>
      <c r="U45" t="s">
        <v>401</v>
      </c>
      <c r="V45">
        <v>0</v>
      </c>
      <c r="W45" t="s">
        <v>401</v>
      </c>
      <c r="X45">
        <v>0</v>
      </c>
      <c r="Y45"/>
      <c r="Z45"/>
      <c r="AA45" s="49">
        <v>45657</v>
      </c>
      <c r="AB45" s="49">
        <v>46022</v>
      </c>
      <c r="AM45" s="104">
        <v>98685</v>
      </c>
      <c r="AN45" t="s">
        <v>408</v>
      </c>
      <c r="AO45" t="s">
        <v>406</v>
      </c>
      <c r="AP45" t="s">
        <v>407</v>
      </c>
    </row>
    <row r="46" spans="1:42" x14ac:dyDescent="0.25">
      <c r="A46">
        <v>45</v>
      </c>
      <c r="B46">
        <v>452538</v>
      </c>
      <c r="C46" t="s">
        <v>131</v>
      </c>
      <c r="D46" t="s">
        <v>339</v>
      </c>
      <c r="E46" t="s">
        <v>339</v>
      </c>
      <c r="F46" t="s">
        <v>339</v>
      </c>
      <c r="G46">
        <v>5</v>
      </c>
      <c r="H46">
        <v>1</v>
      </c>
      <c r="I46">
        <v>137</v>
      </c>
      <c r="J46" t="s">
        <v>292</v>
      </c>
      <c r="K46">
        <v>2001</v>
      </c>
      <c r="L46" t="s">
        <v>392</v>
      </c>
      <c r="M46" t="s">
        <v>340</v>
      </c>
      <c r="N46" t="s">
        <v>341</v>
      </c>
      <c r="O46" t="s">
        <v>342</v>
      </c>
      <c r="Q46">
        <v>16927</v>
      </c>
      <c r="R46">
        <v>5</v>
      </c>
      <c r="S46"/>
      <c r="U46" t="s">
        <v>401</v>
      </c>
      <c r="V46">
        <v>0</v>
      </c>
      <c r="W46" t="s">
        <v>401</v>
      </c>
      <c r="X46">
        <v>0</v>
      </c>
      <c r="Y46"/>
      <c r="Z46"/>
      <c r="AA46" s="49">
        <v>45657</v>
      </c>
      <c r="AB46" s="49">
        <v>46022</v>
      </c>
      <c r="AM46" s="104">
        <v>98685</v>
      </c>
      <c r="AN46" t="s">
        <v>408</v>
      </c>
      <c r="AO46" t="s">
        <v>406</v>
      </c>
      <c r="AP46" t="s">
        <v>407</v>
      </c>
    </row>
    <row r="47" spans="1:42" x14ac:dyDescent="0.25">
      <c r="A47">
        <v>46</v>
      </c>
      <c r="B47">
        <v>452538</v>
      </c>
      <c r="C47" t="s">
        <v>131</v>
      </c>
      <c r="D47" t="s">
        <v>343</v>
      </c>
      <c r="E47" t="s">
        <v>343</v>
      </c>
      <c r="F47" t="s">
        <v>343</v>
      </c>
      <c r="G47">
        <v>5</v>
      </c>
      <c r="H47">
        <v>17</v>
      </c>
      <c r="I47">
        <v>27</v>
      </c>
      <c r="J47" t="s">
        <v>344</v>
      </c>
      <c r="K47">
        <v>2016</v>
      </c>
      <c r="L47" t="s">
        <v>395</v>
      </c>
      <c r="M47" t="s">
        <v>345</v>
      </c>
      <c r="N47" t="s">
        <v>346</v>
      </c>
      <c r="O47" t="s">
        <v>347</v>
      </c>
      <c r="Q47">
        <v>121828</v>
      </c>
      <c r="R47">
        <v>5</v>
      </c>
      <c r="S47"/>
      <c r="U47" t="s">
        <v>401</v>
      </c>
      <c r="V47">
        <v>0</v>
      </c>
      <c r="W47" t="s">
        <v>401</v>
      </c>
      <c r="X47">
        <v>0</v>
      </c>
      <c r="Y47"/>
      <c r="Z47"/>
      <c r="AA47" s="49">
        <v>45657</v>
      </c>
      <c r="AB47" s="49">
        <v>46022</v>
      </c>
      <c r="AM47" s="104">
        <v>98685</v>
      </c>
      <c r="AN47" t="s">
        <v>408</v>
      </c>
      <c r="AO47" t="s">
        <v>406</v>
      </c>
      <c r="AP47" t="s">
        <v>407</v>
      </c>
    </row>
    <row r="48" spans="1:42" x14ac:dyDescent="0.25">
      <c r="A48">
        <v>47</v>
      </c>
      <c r="B48">
        <v>452538</v>
      </c>
      <c r="C48" t="s">
        <v>131</v>
      </c>
      <c r="D48" t="s">
        <v>343</v>
      </c>
      <c r="E48" t="s">
        <v>343</v>
      </c>
      <c r="F48" t="s">
        <v>343</v>
      </c>
      <c r="G48">
        <v>5</v>
      </c>
      <c r="H48">
        <v>1</v>
      </c>
      <c r="I48">
        <v>1084</v>
      </c>
      <c r="J48" t="s">
        <v>348</v>
      </c>
      <c r="K48">
        <v>2014</v>
      </c>
      <c r="L48" t="s">
        <v>395</v>
      </c>
      <c r="M48" t="s">
        <v>349</v>
      </c>
      <c r="N48" t="s">
        <v>350</v>
      </c>
      <c r="O48" t="s">
        <v>351</v>
      </c>
      <c r="Q48">
        <v>76743</v>
      </c>
      <c r="R48">
        <v>5</v>
      </c>
      <c r="S48"/>
      <c r="U48" t="s">
        <v>401</v>
      </c>
      <c r="V48">
        <v>0</v>
      </c>
      <c r="W48" t="s">
        <v>401</v>
      </c>
      <c r="X48">
        <v>0</v>
      </c>
      <c r="Y48"/>
      <c r="Z48"/>
      <c r="AA48" s="49">
        <v>45657</v>
      </c>
      <c r="AB48" s="49">
        <v>46022</v>
      </c>
      <c r="AM48" s="104">
        <v>98685</v>
      </c>
      <c r="AN48" t="s">
        <v>408</v>
      </c>
      <c r="AO48" t="s">
        <v>406</v>
      </c>
      <c r="AP48" t="s">
        <v>407</v>
      </c>
    </row>
    <row r="49" spans="1:42" x14ac:dyDescent="0.25">
      <c r="A49">
        <v>48</v>
      </c>
      <c r="B49">
        <v>452538</v>
      </c>
      <c r="C49" t="s">
        <v>131</v>
      </c>
      <c r="D49" t="s">
        <v>352</v>
      </c>
      <c r="E49" t="s">
        <v>352</v>
      </c>
      <c r="F49" t="s">
        <v>352</v>
      </c>
      <c r="G49">
        <v>5</v>
      </c>
      <c r="H49">
        <v>1</v>
      </c>
      <c r="I49">
        <v>27</v>
      </c>
      <c r="J49" t="s">
        <v>353</v>
      </c>
      <c r="K49">
        <v>2008</v>
      </c>
      <c r="L49" t="s">
        <v>386</v>
      </c>
      <c r="M49" t="s">
        <v>354</v>
      </c>
      <c r="N49" t="s">
        <v>355</v>
      </c>
      <c r="O49" t="s">
        <v>356</v>
      </c>
      <c r="Q49">
        <v>32490</v>
      </c>
      <c r="R49">
        <v>5</v>
      </c>
      <c r="S49"/>
      <c r="U49" t="s">
        <v>401</v>
      </c>
      <c r="V49">
        <v>0</v>
      </c>
      <c r="W49" t="s">
        <v>401</v>
      </c>
      <c r="X49">
        <v>0</v>
      </c>
      <c r="Y49"/>
      <c r="Z49"/>
      <c r="AA49" s="49">
        <v>45657</v>
      </c>
      <c r="AB49" s="49">
        <v>46022</v>
      </c>
      <c r="AM49" s="104">
        <v>98685</v>
      </c>
      <c r="AN49" t="s">
        <v>408</v>
      </c>
      <c r="AO49" t="s">
        <v>406</v>
      </c>
      <c r="AP49" t="s">
        <v>407</v>
      </c>
    </row>
    <row r="50" spans="1:42" x14ac:dyDescent="0.25">
      <c r="A50">
        <v>49</v>
      </c>
      <c r="B50">
        <v>452538</v>
      </c>
      <c r="C50" t="s">
        <v>131</v>
      </c>
      <c r="D50" t="s">
        <v>357</v>
      </c>
      <c r="E50" t="s">
        <v>357</v>
      </c>
      <c r="F50" t="s">
        <v>357</v>
      </c>
      <c r="G50">
        <v>5</v>
      </c>
      <c r="H50">
        <v>1</v>
      </c>
      <c r="I50">
        <v>44</v>
      </c>
      <c r="J50" t="s">
        <v>191</v>
      </c>
      <c r="K50">
        <v>2007</v>
      </c>
      <c r="L50" t="s">
        <v>394</v>
      </c>
      <c r="M50" t="s">
        <v>358</v>
      </c>
      <c r="N50" t="s">
        <v>359</v>
      </c>
      <c r="O50" t="s">
        <v>360</v>
      </c>
      <c r="Q50">
        <v>23750</v>
      </c>
      <c r="R50">
        <v>5</v>
      </c>
      <c r="S50"/>
      <c r="U50" t="s">
        <v>401</v>
      </c>
      <c r="V50">
        <v>0</v>
      </c>
      <c r="W50" t="s">
        <v>401</v>
      </c>
      <c r="X50">
        <v>0</v>
      </c>
      <c r="Y50"/>
      <c r="Z50"/>
      <c r="AA50" s="49">
        <v>45657</v>
      </c>
      <c r="AB50" s="49">
        <v>46022</v>
      </c>
      <c r="AM50" s="104">
        <v>98685</v>
      </c>
      <c r="AN50" t="s">
        <v>408</v>
      </c>
      <c r="AO50" t="s">
        <v>406</v>
      </c>
      <c r="AP50" t="s">
        <v>407</v>
      </c>
    </row>
    <row r="51" spans="1:42" x14ac:dyDescent="0.25">
      <c r="A51">
        <v>50</v>
      </c>
      <c r="B51">
        <v>452538</v>
      </c>
      <c r="C51" t="s">
        <v>131</v>
      </c>
      <c r="D51" t="s">
        <v>361</v>
      </c>
      <c r="E51" t="s">
        <v>361</v>
      </c>
      <c r="F51" t="s">
        <v>361</v>
      </c>
      <c r="G51">
        <v>5</v>
      </c>
      <c r="H51">
        <v>17</v>
      </c>
      <c r="I51">
        <v>1084</v>
      </c>
      <c r="J51" t="s">
        <v>362</v>
      </c>
      <c r="K51">
        <v>2021</v>
      </c>
      <c r="L51" t="s">
        <v>390</v>
      </c>
      <c r="M51" t="s">
        <v>363</v>
      </c>
      <c r="N51" t="s">
        <v>364</v>
      </c>
      <c r="O51" t="s">
        <v>365</v>
      </c>
      <c r="Q51">
        <v>127052</v>
      </c>
      <c r="R51">
        <v>5</v>
      </c>
      <c r="S51"/>
      <c r="U51" t="s">
        <v>401</v>
      </c>
      <c r="V51">
        <v>0</v>
      </c>
      <c r="W51" t="s">
        <v>401</v>
      </c>
      <c r="X51">
        <v>0</v>
      </c>
      <c r="Y51"/>
      <c r="Z51"/>
      <c r="AA51" s="49">
        <v>45657</v>
      </c>
      <c r="AB51" s="49">
        <v>46022</v>
      </c>
      <c r="AM51" s="104">
        <v>98685</v>
      </c>
      <c r="AN51" t="s">
        <v>408</v>
      </c>
      <c r="AO51" t="s">
        <v>406</v>
      </c>
      <c r="AP51" t="s">
        <v>407</v>
      </c>
    </row>
    <row r="52" spans="1:42" x14ac:dyDescent="0.25">
      <c r="A52">
        <v>51</v>
      </c>
      <c r="B52">
        <v>452538</v>
      </c>
      <c r="C52" t="s">
        <v>131</v>
      </c>
      <c r="D52" t="s">
        <v>366</v>
      </c>
      <c r="E52" t="s">
        <v>366</v>
      </c>
      <c r="F52" t="s">
        <v>366</v>
      </c>
      <c r="G52">
        <v>5</v>
      </c>
      <c r="H52">
        <v>17</v>
      </c>
      <c r="I52">
        <v>117</v>
      </c>
      <c r="J52" t="s">
        <v>367</v>
      </c>
      <c r="K52">
        <v>2015</v>
      </c>
      <c r="L52" t="s">
        <v>386</v>
      </c>
      <c r="M52" t="s">
        <v>368</v>
      </c>
      <c r="N52" t="s">
        <v>369</v>
      </c>
      <c r="O52" t="s">
        <v>370</v>
      </c>
      <c r="Q52">
        <v>77163</v>
      </c>
      <c r="R52">
        <v>5</v>
      </c>
      <c r="S52"/>
      <c r="U52" t="s">
        <v>401</v>
      </c>
      <c r="V52">
        <v>0</v>
      </c>
      <c r="W52" t="s">
        <v>401</v>
      </c>
      <c r="X52">
        <v>0</v>
      </c>
      <c r="Y52"/>
      <c r="Z52"/>
      <c r="AA52" s="49">
        <v>45657</v>
      </c>
      <c r="AB52" s="49">
        <v>46022</v>
      </c>
      <c r="AM52" s="104">
        <v>98685</v>
      </c>
      <c r="AN52" t="s">
        <v>408</v>
      </c>
      <c r="AO52" t="s">
        <v>406</v>
      </c>
      <c r="AP52" t="s">
        <v>407</v>
      </c>
    </row>
    <row r="53" spans="1:42" x14ac:dyDescent="0.25">
      <c r="A53">
        <v>52</v>
      </c>
      <c r="B53">
        <v>452538</v>
      </c>
      <c r="C53" t="s">
        <v>131</v>
      </c>
      <c r="D53" t="s">
        <v>371</v>
      </c>
      <c r="E53" t="s">
        <v>371</v>
      </c>
      <c r="F53" t="s">
        <v>371</v>
      </c>
      <c r="G53">
        <v>5</v>
      </c>
      <c r="H53">
        <v>1</v>
      </c>
      <c r="I53">
        <v>139</v>
      </c>
      <c r="J53" t="s">
        <v>372</v>
      </c>
      <c r="K53">
        <v>2013</v>
      </c>
      <c r="L53" t="s">
        <v>392</v>
      </c>
      <c r="M53" t="s">
        <v>373</v>
      </c>
      <c r="N53" t="s">
        <v>374</v>
      </c>
      <c r="O53" t="s">
        <v>375</v>
      </c>
      <c r="Q53">
        <v>55100</v>
      </c>
      <c r="R53">
        <v>5</v>
      </c>
      <c r="S53"/>
      <c r="U53" t="s">
        <v>401</v>
      </c>
      <c r="V53">
        <v>0</v>
      </c>
      <c r="W53" t="s">
        <v>401</v>
      </c>
      <c r="X53">
        <v>0</v>
      </c>
      <c r="Y53"/>
      <c r="Z53"/>
      <c r="AA53" s="49">
        <v>45657</v>
      </c>
      <c r="AB53" s="49">
        <v>46022</v>
      </c>
      <c r="AM53" s="104">
        <v>98685</v>
      </c>
      <c r="AN53" t="s">
        <v>408</v>
      </c>
      <c r="AO53" t="s">
        <v>406</v>
      </c>
      <c r="AP53" t="s">
        <v>407</v>
      </c>
    </row>
    <row r="54" spans="1:42" x14ac:dyDescent="0.25">
      <c r="A54">
        <v>53</v>
      </c>
      <c r="B54">
        <v>452538</v>
      </c>
      <c r="C54" t="s">
        <v>131</v>
      </c>
      <c r="D54" t="s">
        <v>376</v>
      </c>
      <c r="E54" t="s">
        <v>376</v>
      </c>
      <c r="F54" t="s">
        <v>376</v>
      </c>
      <c r="G54">
        <v>5</v>
      </c>
      <c r="H54">
        <v>17</v>
      </c>
      <c r="I54">
        <v>117</v>
      </c>
      <c r="J54" s="48" t="s">
        <v>377</v>
      </c>
      <c r="K54">
        <v>2012</v>
      </c>
      <c r="L54" t="s">
        <v>399</v>
      </c>
      <c r="M54" t="s">
        <v>378</v>
      </c>
      <c r="N54" t="s">
        <v>379</v>
      </c>
      <c r="O54" t="s">
        <v>380</v>
      </c>
      <c r="Q54" s="50">
        <v>45000</v>
      </c>
      <c r="R54">
        <v>5</v>
      </c>
      <c r="U54" t="s">
        <v>401</v>
      </c>
      <c r="V54">
        <v>0</v>
      </c>
      <c r="W54" t="s">
        <v>401</v>
      </c>
      <c r="X54">
        <v>0</v>
      </c>
      <c r="AA54" s="49">
        <v>45657</v>
      </c>
      <c r="AB54" s="49">
        <v>46022</v>
      </c>
      <c r="AM54" s="104">
        <v>98685</v>
      </c>
      <c r="AN54" t="s">
        <v>408</v>
      </c>
      <c r="AO54" t="s">
        <v>406</v>
      </c>
      <c r="AP54" t="s">
        <v>407</v>
      </c>
    </row>
    <row r="55" spans="1:42" x14ac:dyDescent="0.25">
      <c r="A55">
        <v>54</v>
      </c>
      <c r="B55">
        <v>452538</v>
      </c>
      <c r="C55" t="s">
        <v>131</v>
      </c>
      <c r="D55" t="s">
        <v>366</v>
      </c>
      <c r="E55" t="s">
        <v>366</v>
      </c>
      <c r="F55" t="s">
        <v>366</v>
      </c>
      <c r="G55">
        <v>5</v>
      </c>
      <c r="H55">
        <v>17</v>
      </c>
      <c r="I55">
        <v>27</v>
      </c>
      <c r="J55" s="48" t="s">
        <v>381</v>
      </c>
      <c r="K55">
        <v>2020</v>
      </c>
      <c r="L55" t="s">
        <v>400</v>
      </c>
      <c r="M55" t="s">
        <v>382</v>
      </c>
      <c r="N55" t="s">
        <v>383</v>
      </c>
      <c r="O55" t="s">
        <v>384</v>
      </c>
      <c r="Q55" s="50">
        <v>100000</v>
      </c>
      <c r="R55">
        <v>5</v>
      </c>
      <c r="U55" t="s">
        <v>401</v>
      </c>
      <c r="V55">
        <v>0</v>
      </c>
      <c r="W55" t="s">
        <v>401</v>
      </c>
      <c r="X55">
        <v>0</v>
      </c>
      <c r="AA55" s="49">
        <v>45657</v>
      </c>
      <c r="AB55" s="49">
        <v>46022</v>
      </c>
      <c r="AM55" s="104">
        <v>98685</v>
      </c>
      <c r="AN55" t="s">
        <v>408</v>
      </c>
      <c r="AO55" t="s">
        <v>406</v>
      </c>
      <c r="AP55" t="s">
        <v>407</v>
      </c>
    </row>
    <row r="56" spans="1:42" x14ac:dyDescent="0.25">
      <c r="C56" t="s">
        <v>131</v>
      </c>
      <c r="H56">
        <v>17</v>
      </c>
      <c r="I56" s="50">
        <v>137</v>
      </c>
      <c r="J56" s="48" t="s">
        <v>413</v>
      </c>
      <c r="K56">
        <v>2016</v>
      </c>
      <c r="M56" t="s">
        <v>414</v>
      </c>
      <c r="O56" t="s">
        <v>415</v>
      </c>
      <c r="Q56" s="50">
        <v>130000</v>
      </c>
      <c r="R56">
        <v>5</v>
      </c>
      <c r="AA56" s="49">
        <v>45657</v>
      </c>
      <c r="AB56" s="49">
        <v>46022</v>
      </c>
      <c r="AM56" s="104">
        <v>98685</v>
      </c>
      <c r="AN56" t="s">
        <v>408</v>
      </c>
      <c r="AO56" t="s">
        <v>406</v>
      </c>
      <c r="AP56" t="s">
        <v>407</v>
      </c>
    </row>
    <row r="57" spans="1:42" x14ac:dyDescent="0.25">
      <c r="C57" t="s">
        <v>131</v>
      </c>
      <c r="H57">
        <v>17</v>
      </c>
      <c r="I57" s="50">
        <v>27</v>
      </c>
      <c r="J57" s="48" t="s">
        <v>381</v>
      </c>
      <c r="K57">
        <v>2020</v>
      </c>
      <c r="M57" t="s">
        <v>382</v>
      </c>
      <c r="O57" t="s">
        <v>384</v>
      </c>
      <c r="Q57" s="50">
        <v>100000</v>
      </c>
      <c r="R57">
        <v>5</v>
      </c>
      <c r="AA57" s="49">
        <v>45657</v>
      </c>
      <c r="AB57" s="49">
        <v>46022</v>
      </c>
      <c r="AM57" s="104">
        <v>98685</v>
      </c>
      <c r="AN57" t="s">
        <v>408</v>
      </c>
      <c r="AO57" t="s">
        <v>406</v>
      </c>
      <c r="AP57" t="s">
        <v>407</v>
      </c>
    </row>
    <row r="58" spans="1:42" x14ac:dyDescent="0.25">
      <c r="AA58" s="49"/>
      <c r="AB58" s="49"/>
      <c r="AM58" s="104"/>
    </row>
  </sheetData>
  <phoneticPr fontId="1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B2367-CDE0-4E21-8DDF-20EAA523446B}">
  <dimension ref="A3:O128"/>
  <sheetViews>
    <sheetView workbookViewId="0">
      <selection activeCell="N10" sqref="N10"/>
    </sheetView>
  </sheetViews>
  <sheetFormatPr baseColWidth="10" defaultColWidth="11.5703125" defaultRowHeight="15" x14ac:dyDescent="0.25"/>
  <cols>
    <col min="1" max="1" width="14.85546875" bestFit="1" customWidth="1"/>
    <col min="2" max="2" width="68.28515625" customWidth="1"/>
    <col min="3" max="3" width="9.140625" bestFit="1" customWidth="1"/>
    <col min="4" max="4" width="13.7109375" bestFit="1" customWidth="1"/>
    <col min="5" max="5" width="14.7109375" bestFit="1" customWidth="1"/>
    <col min="6" max="6" width="17.5703125" bestFit="1" customWidth="1"/>
    <col min="7" max="7" width="14.7109375" bestFit="1" customWidth="1"/>
    <col min="9" max="9" width="10.7109375" bestFit="1" customWidth="1"/>
    <col min="10" max="10" width="7.140625" bestFit="1" customWidth="1"/>
    <col min="11" max="11" width="9.28515625" bestFit="1" customWidth="1"/>
    <col min="12" max="12" width="8.7109375" bestFit="1" customWidth="1"/>
    <col min="13" max="13" width="12.7109375" bestFit="1" customWidth="1"/>
    <col min="14" max="14" width="11.28515625" bestFit="1" customWidth="1"/>
  </cols>
  <sheetData>
    <row r="3" spans="1:15" x14ac:dyDescent="0.25">
      <c r="J3" s="71" t="s">
        <v>81</v>
      </c>
    </row>
    <row r="4" spans="1:15" x14ac:dyDescent="0.25">
      <c r="A4" s="71" t="s">
        <v>88</v>
      </c>
      <c r="B4" s="71" t="s">
        <v>4</v>
      </c>
      <c r="C4" s="71" t="s">
        <v>0</v>
      </c>
      <c r="D4" s="71" t="s">
        <v>37</v>
      </c>
      <c r="E4" s="71" t="s">
        <v>45</v>
      </c>
      <c r="F4" s="71" t="s">
        <v>82</v>
      </c>
      <c r="G4" s="71" t="s">
        <v>18</v>
      </c>
      <c r="H4" s="71" t="s">
        <v>83</v>
      </c>
      <c r="I4" s="71" t="s">
        <v>84</v>
      </c>
      <c r="J4" t="s">
        <v>89</v>
      </c>
      <c r="K4" t="s">
        <v>85</v>
      </c>
      <c r="L4" t="s">
        <v>86</v>
      </c>
      <c r="M4" s="79" t="s">
        <v>87</v>
      </c>
      <c r="N4" s="79" t="s">
        <v>84</v>
      </c>
      <c r="O4" s="70"/>
    </row>
    <row r="5" spans="1:15" x14ac:dyDescent="0.25">
      <c r="A5" t="s">
        <v>6</v>
      </c>
      <c r="B5" t="s">
        <v>44</v>
      </c>
      <c r="C5">
        <v>352124</v>
      </c>
      <c r="D5" t="s">
        <v>43</v>
      </c>
      <c r="E5" t="s">
        <v>42</v>
      </c>
      <c r="F5" s="49">
        <v>44161</v>
      </c>
      <c r="G5" s="81">
        <v>0.16</v>
      </c>
      <c r="H5" s="81">
        <v>2.1999999999999999E-2</v>
      </c>
      <c r="I5" s="81">
        <v>0.15</v>
      </c>
      <c r="J5" s="83">
        <v>3</v>
      </c>
      <c r="K5" s="82">
        <v>600</v>
      </c>
      <c r="L5" s="83">
        <v>30</v>
      </c>
      <c r="M5" s="82">
        <f>(K5*(1+H5)+L5)*(1+G5)</f>
        <v>746.11199999999997</v>
      </c>
      <c r="N5" s="82">
        <f>K5*I5</f>
        <v>90</v>
      </c>
      <c r="O5" s="70"/>
    </row>
    <row r="6" spans="1:15" x14ac:dyDescent="0.25">
      <c r="A6" t="s">
        <v>8</v>
      </c>
      <c r="B6" t="s">
        <v>44</v>
      </c>
      <c r="C6">
        <v>352124</v>
      </c>
      <c r="D6" t="s">
        <v>49</v>
      </c>
      <c r="E6" t="s">
        <v>41</v>
      </c>
      <c r="F6" s="49">
        <v>44161</v>
      </c>
      <c r="G6" s="81">
        <v>0.16</v>
      </c>
      <c r="H6" s="81">
        <v>2.1999999999999999E-2</v>
      </c>
      <c r="I6" s="81">
        <v>0.15</v>
      </c>
      <c r="J6" s="83">
        <v>1</v>
      </c>
      <c r="K6" s="82">
        <v>200</v>
      </c>
      <c r="L6" s="83">
        <v>10</v>
      </c>
      <c r="M6" s="82">
        <f t="shared" ref="M6:M69" si="0">(K6*(1+H6)+L6)*(1+G6)</f>
        <v>248.70399999999998</v>
      </c>
      <c r="N6" s="82">
        <f t="shared" ref="N6:N69" si="1">K6*I6</f>
        <v>30</v>
      </c>
      <c r="O6" s="70"/>
    </row>
    <row r="7" spans="1:15" x14ac:dyDescent="0.25">
      <c r="D7" t="s">
        <v>50</v>
      </c>
      <c r="E7" t="s">
        <v>42</v>
      </c>
      <c r="F7" s="49">
        <v>44161</v>
      </c>
      <c r="G7" s="81">
        <v>0.16</v>
      </c>
      <c r="H7" s="81">
        <v>0.05</v>
      </c>
      <c r="I7" s="81">
        <v>0.15</v>
      </c>
      <c r="J7" s="83">
        <v>1</v>
      </c>
      <c r="K7" s="82">
        <v>2400</v>
      </c>
      <c r="L7" s="83">
        <v>120</v>
      </c>
      <c r="M7" s="82">
        <f t="shared" si="0"/>
        <v>3062.3999999999996</v>
      </c>
      <c r="N7" s="82">
        <f t="shared" si="1"/>
        <v>360</v>
      </c>
    </row>
    <row r="8" spans="1:15" x14ac:dyDescent="0.25">
      <c r="C8">
        <v>352125</v>
      </c>
      <c r="D8" t="s">
        <v>50</v>
      </c>
      <c r="E8" t="s">
        <v>51</v>
      </c>
      <c r="F8" s="49">
        <v>44161</v>
      </c>
      <c r="G8" s="81">
        <v>0.16</v>
      </c>
      <c r="H8" s="81">
        <v>0.05</v>
      </c>
      <c r="I8" s="81">
        <v>0.15</v>
      </c>
      <c r="J8" s="83">
        <v>1</v>
      </c>
      <c r="K8" s="82">
        <v>2400</v>
      </c>
      <c r="L8" s="83">
        <v>120</v>
      </c>
      <c r="M8" s="82">
        <f t="shared" si="0"/>
        <v>3062.3999999999996</v>
      </c>
      <c r="N8" s="82">
        <f t="shared" si="1"/>
        <v>360</v>
      </c>
    </row>
    <row r="9" spans="1:15" x14ac:dyDescent="0.25">
      <c r="A9" t="s">
        <v>7</v>
      </c>
      <c r="B9" t="s">
        <v>44</v>
      </c>
      <c r="C9">
        <v>352124</v>
      </c>
      <c r="D9" t="s">
        <v>49</v>
      </c>
      <c r="E9" t="s">
        <v>41</v>
      </c>
      <c r="F9" s="49">
        <v>44161</v>
      </c>
      <c r="G9" s="81">
        <v>0.16</v>
      </c>
      <c r="H9" s="81">
        <v>2.1999999999999999E-2</v>
      </c>
      <c r="I9" s="81">
        <v>0.15</v>
      </c>
      <c r="J9" s="83">
        <v>1</v>
      </c>
      <c r="K9" s="82">
        <v>200</v>
      </c>
      <c r="L9" s="83">
        <v>10</v>
      </c>
      <c r="M9" s="82">
        <f t="shared" si="0"/>
        <v>248.70399999999998</v>
      </c>
      <c r="N9" s="82">
        <f t="shared" si="1"/>
        <v>30</v>
      </c>
    </row>
    <row r="10" spans="1:15" x14ac:dyDescent="0.25">
      <c r="A10" t="s">
        <v>73</v>
      </c>
      <c r="J10" s="82">
        <v>7</v>
      </c>
      <c r="K10" s="82">
        <v>5800</v>
      </c>
      <c r="L10" s="83">
        <v>290</v>
      </c>
      <c r="M10" s="82">
        <f>SUM(M5:M9)</f>
        <v>7368.3199999999988</v>
      </c>
      <c r="N10" s="82">
        <f>SUM(N5:N9)</f>
        <v>870</v>
      </c>
    </row>
    <row r="11" spans="1:15" x14ac:dyDescent="0.25">
      <c r="M11" s="82">
        <f t="shared" si="0"/>
        <v>0</v>
      </c>
      <c r="N11" s="82">
        <f t="shared" si="1"/>
        <v>0</v>
      </c>
    </row>
    <row r="12" spans="1:15" x14ac:dyDescent="0.25">
      <c r="M12" s="82">
        <f t="shared" si="0"/>
        <v>0</v>
      </c>
      <c r="N12" s="82">
        <f t="shared" si="1"/>
        <v>0</v>
      </c>
    </row>
    <row r="13" spans="1:15" x14ac:dyDescent="0.25">
      <c r="M13" s="82">
        <f t="shared" si="0"/>
        <v>0</v>
      </c>
      <c r="N13" s="82">
        <f t="shared" si="1"/>
        <v>0</v>
      </c>
    </row>
    <row r="14" spans="1:15" x14ac:dyDescent="0.25">
      <c r="M14" s="82">
        <f t="shared" si="0"/>
        <v>0</v>
      </c>
      <c r="N14" s="82">
        <f t="shared" si="1"/>
        <v>0</v>
      </c>
    </row>
    <row r="15" spans="1:15" x14ac:dyDescent="0.25">
      <c r="M15" s="82">
        <f t="shared" si="0"/>
        <v>0</v>
      </c>
      <c r="N15" s="82">
        <f t="shared" si="1"/>
        <v>0</v>
      </c>
    </row>
    <row r="16" spans="1:15" x14ac:dyDescent="0.25">
      <c r="M16" s="82">
        <f t="shared" si="0"/>
        <v>0</v>
      </c>
      <c r="N16" s="82">
        <f t="shared" si="1"/>
        <v>0</v>
      </c>
    </row>
    <row r="17" spans="13:14" x14ac:dyDescent="0.25">
      <c r="M17" s="82">
        <f t="shared" si="0"/>
        <v>0</v>
      </c>
      <c r="N17" s="82">
        <f t="shared" si="1"/>
        <v>0</v>
      </c>
    </row>
    <row r="18" spans="13:14" x14ac:dyDescent="0.25">
      <c r="M18" s="82">
        <f t="shared" si="0"/>
        <v>0</v>
      </c>
      <c r="N18" s="82">
        <f t="shared" si="1"/>
        <v>0</v>
      </c>
    </row>
    <row r="19" spans="13:14" x14ac:dyDescent="0.25">
      <c r="M19" s="82">
        <f t="shared" si="0"/>
        <v>0</v>
      </c>
      <c r="N19" s="82">
        <f t="shared" si="1"/>
        <v>0</v>
      </c>
    </row>
    <row r="20" spans="13:14" x14ac:dyDescent="0.25">
      <c r="M20" s="82">
        <f t="shared" si="0"/>
        <v>0</v>
      </c>
      <c r="N20" s="82">
        <f t="shared" si="1"/>
        <v>0</v>
      </c>
    </row>
    <row r="21" spans="13:14" x14ac:dyDescent="0.25">
      <c r="M21" s="82">
        <f t="shared" si="0"/>
        <v>0</v>
      </c>
      <c r="N21" s="82">
        <f t="shared" si="1"/>
        <v>0</v>
      </c>
    </row>
    <row r="22" spans="13:14" x14ac:dyDescent="0.25">
      <c r="M22" s="82">
        <f t="shared" si="0"/>
        <v>0</v>
      </c>
      <c r="N22" s="82">
        <f t="shared" si="1"/>
        <v>0</v>
      </c>
    </row>
    <row r="23" spans="13:14" x14ac:dyDescent="0.25">
      <c r="M23" s="82">
        <f t="shared" si="0"/>
        <v>0</v>
      </c>
      <c r="N23" s="82">
        <f t="shared" si="1"/>
        <v>0</v>
      </c>
    </row>
    <row r="24" spans="13:14" x14ac:dyDescent="0.25">
      <c r="M24" s="82">
        <f t="shared" si="0"/>
        <v>0</v>
      </c>
      <c r="N24" s="82">
        <f t="shared" si="1"/>
        <v>0</v>
      </c>
    </row>
    <row r="25" spans="13:14" x14ac:dyDescent="0.25">
      <c r="M25" s="82">
        <f t="shared" si="0"/>
        <v>0</v>
      </c>
      <c r="N25" s="82">
        <f t="shared" si="1"/>
        <v>0</v>
      </c>
    </row>
    <row r="26" spans="13:14" x14ac:dyDescent="0.25">
      <c r="M26" s="82">
        <f t="shared" si="0"/>
        <v>0</v>
      </c>
      <c r="N26" s="82">
        <f t="shared" si="1"/>
        <v>0</v>
      </c>
    </row>
    <row r="27" spans="13:14" x14ac:dyDescent="0.25">
      <c r="M27" s="82">
        <f t="shared" si="0"/>
        <v>0</v>
      </c>
      <c r="N27" s="82">
        <f t="shared" si="1"/>
        <v>0</v>
      </c>
    </row>
    <row r="28" spans="13:14" x14ac:dyDescent="0.25">
      <c r="M28" s="82">
        <f t="shared" si="0"/>
        <v>0</v>
      </c>
      <c r="N28" s="82">
        <f t="shared" si="1"/>
        <v>0</v>
      </c>
    </row>
    <row r="29" spans="13:14" x14ac:dyDescent="0.25">
      <c r="M29" s="82">
        <f t="shared" si="0"/>
        <v>0</v>
      </c>
      <c r="N29" s="82">
        <f t="shared" si="1"/>
        <v>0</v>
      </c>
    </row>
    <row r="30" spans="13:14" x14ac:dyDescent="0.25">
      <c r="M30" s="82">
        <f t="shared" si="0"/>
        <v>0</v>
      </c>
      <c r="N30" s="82">
        <f t="shared" si="1"/>
        <v>0</v>
      </c>
    </row>
    <row r="31" spans="13:14" x14ac:dyDescent="0.25">
      <c r="M31" s="82">
        <f t="shared" si="0"/>
        <v>0</v>
      </c>
      <c r="N31" s="82">
        <f t="shared" si="1"/>
        <v>0</v>
      </c>
    </row>
    <row r="32" spans="13:14" x14ac:dyDescent="0.25">
      <c r="M32" s="82">
        <f t="shared" si="0"/>
        <v>0</v>
      </c>
      <c r="N32" s="82">
        <f t="shared" si="1"/>
        <v>0</v>
      </c>
    </row>
    <row r="33" spans="13:14" x14ac:dyDescent="0.25">
      <c r="M33" s="82">
        <f t="shared" si="0"/>
        <v>0</v>
      </c>
      <c r="N33" s="82">
        <f t="shared" si="1"/>
        <v>0</v>
      </c>
    </row>
    <row r="34" spans="13:14" x14ac:dyDescent="0.25">
      <c r="M34" s="82">
        <f t="shared" si="0"/>
        <v>0</v>
      </c>
      <c r="N34" s="82">
        <f t="shared" si="1"/>
        <v>0</v>
      </c>
    </row>
    <row r="35" spans="13:14" x14ac:dyDescent="0.25">
      <c r="M35" s="82">
        <f t="shared" si="0"/>
        <v>0</v>
      </c>
      <c r="N35" s="82">
        <f t="shared" si="1"/>
        <v>0</v>
      </c>
    </row>
    <row r="36" spans="13:14" x14ac:dyDescent="0.25">
      <c r="M36" s="82">
        <f t="shared" si="0"/>
        <v>0</v>
      </c>
      <c r="N36" s="82">
        <f t="shared" si="1"/>
        <v>0</v>
      </c>
    </row>
    <row r="37" spans="13:14" x14ac:dyDescent="0.25">
      <c r="M37" s="82">
        <f t="shared" si="0"/>
        <v>0</v>
      </c>
      <c r="N37" s="82">
        <f t="shared" si="1"/>
        <v>0</v>
      </c>
    </row>
    <row r="38" spans="13:14" x14ac:dyDescent="0.25">
      <c r="M38" s="82">
        <f t="shared" si="0"/>
        <v>0</v>
      </c>
      <c r="N38" s="82">
        <f t="shared" si="1"/>
        <v>0</v>
      </c>
    </row>
    <row r="39" spans="13:14" x14ac:dyDescent="0.25">
      <c r="M39" s="82">
        <f t="shared" si="0"/>
        <v>0</v>
      </c>
      <c r="N39" s="82">
        <f t="shared" si="1"/>
        <v>0</v>
      </c>
    </row>
    <row r="40" spans="13:14" x14ac:dyDescent="0.25">
      <c r="M40" s="82">
        <f t="shared" si="0"/>
        <v>0</v>
      </c>
      <c r="N40" s="82">
        <f t="shared" si="1"/>
        <v>0</v>
      </c>
    </row>
    <row r="41" spans="13:14" x14ac:dyDescent="0.25">
      <c r="M41" s="82">
        <f t="shared" si="0"/>
        <v>0</v>
      </c>
      <c r="N41" s="82">
        <f t="shared" si="1"/>
        <v>0</v>
      </c>
    </row>
    <row r="42" spans="13:14" x14ac:dyDescent="0.25">
      <c r="M42" s="82">
        <f t="shared" si="0"/>
        <v>0</v>
      </c>
      <c r="N42" s="82">
        <f t="shared" si="1"/>
        <v>0</v>
      </c>
    </row>
    <row r="43" spans="13:14" x14ac:dyDescent="0.25">
      <c r="M43" s="82">
        <f t="shared" si="0"/>
        <v>0</v>
      </c>
      <c r="N43" s="82">
        <f t="shared" si="1"/>
        <v>0</v>
      </c>
    </row>
    <row r="44" spans="13:14" x14ac:dyDescent="0.25">
      <c r="M44" s="82">
        <f t="shared" si="0"/>
        <v>0</v>
      </c>
      <c r="N44" s="82">
        <f t="shared" si="1"/>
        <v>0</v>
      </c>
    </row>
    <row r="45" spans="13:14" x14ac:dyDescent="0.25">
      <c r="M45" s="82">
        <f t="shared" si="0"/>
        <v>0</v>
      </c>
      <c r="N45" s="82">
        <f t="shared" si="1"/>
        <v>0</v>
      </c>
    </row>
    <row r="46" spans="13:14" x14ac:dyDescent="0.25">
      <c r="M46" s="82">
        <f t="shared" si="0"/>
        <v>0</v>
      </c>
      <c r="N46" s="82">
        <f t="shared" si="1"/>
        <v>0</v>
      </c>
    </row>
    <row r="47" spans="13:14" x14ac:dyDescent="0.25">
      <c r="M47" s="82">
        <f t="shared" si="0"/>
        <v>0</v>
      </c>
      <c r="N47" s="82">
        <f t="shared" si="1"/>
        <v>0</v>
      </c>
    </row>
    <row r="48" spans="13:14" x14ac:dyDescent="0.25">
      <c r="M48" s="82">
        <f t="shared" si="0"/>
        <v>0</v>
      </c>
      <c r="N48" s="82">
        <f t="shared" si="1"/>
        <v>0</v>
      </c>
    </row>
    <row r="49" spans="13:14" x14ac:dyDescent="0.25">
      <c r="M49" s="82">
        <f t="shared" si="0"/>
        <v>0</v>
      </c>
      <c r="N49" s="82">
        <f t="shared" si="1"/>
        <v>0</v>
      </c>
    </row>
    <row r="50" spans="13:14" x14ac:dyDescent="0.25">
      <c r="M50" s="82">
        <f t="shared" si="0"/>
        <v>0</v>
      </c>
      <c r="N50" s="82">
        <f t="shared" si="1"/>
        <v>0</v>
      </c>
    </row>
    <row r="51" spans="13:14" x14ac:dyDescent="0.25">
      <c r="M51" s="82">
        <f t="shared" si="0"/>
        <v>0</v>
      </c>
      <c r="N51" s="82">
        <f t="shared" si="1"/>
        <v>0</v>
      </c>
    </row>
    <row r="52" spans="13:14" x14ac:dyDescent="0.25">
      <c r="M52" s="82">
        <f t="shared" si="0"/>
        <v>0</v>
      </c>
      <c r="N52" s="82">
        <f t="shared" si="1"/>
        <v>0</v>
      </c>
    </row>
    <row r="53" spans="13:14" x14ac:dyDescent="0.25">
      <c r="M53" s="82">
        <f t="shared" si="0"/>
        <v>0</v>
      </c>
      <c r="N53" s="82">
        <f t="shared" si="1"/>
        <v>0</v>
      </c>
    </row>
    <row r="54" spans="13:14" x14ac:dyDescent="0.25">
      <c r="M54" s="82">
        <f t="shared" si="0"/>
        <v>0</v>
      </c>
      <c r="N54" s="82">
        <f t="shared" si="1"/>
        <v>0</v>
      </c>
    </row>
    <row r="55" spans="13:14" x14ac:dyDescent="0.25">
      <c r="M55" s="82">
        <f t="shared" si="0"/>
        <v>0</v>
      </c>
      <c r="N55" s="82">
        <f t="shared" si="1"/>
        <v>0</v>
      </c>
    </row>
    <row r="56" spans="13:14" x14ac:dyDescent="0.25">
      <c r="M56" s="82">
        <f t="shared" si="0"/>
        <v>0</v>
      </c>
      <c r="N56" s="82">
        <f t="shared" si="1"/>
        <v>0</v>
      </c>
    </row>
    <row r="57" spans="13:14" x14ac:dyDescent="0.25">
      <c r="M57" s="82">
        <f t="shared" si="0"/>
        <v>0</v>
      </c>
      <c r="N57" s="82">
        <f t="shared" si="1"/>
        <v>0</v>
      </c>
    </row>
    <row r="58" spans="13:14" x14ac:dyDescent="0.25">
      <c r="M58" s="82">
        <f t="shared" si="0"/>
        <v>0</v>
      </c>
      <c r="N58" s="82">
        <f t="shared" si="1"/>
        <v>0</v>
      </c>
    </row>
    <row r="59" spans="13:14" x14ac:dyDescent="0.25">
      <c r="M59" s="82">
        <f t="shared" si="0"/>
        <v>0</v>
      </c>
      <c r="N59" s="82">
        <f t="shared" si="1"/>
        <v>0</v>
      </c>
    </row>
    <row r="60" spans="13:14" x14ac:dyDescent="0.25">
      <c r="M60" s="82">
        <f t="shared" si="0"/>
        <v>0</v>
      </c>
      <c r="N60" s="82">
        <f t="shared" si="1"/>
        <v>0</v>
      </c>
    </row>
    <row r="61" spans="13:14" x14ac:dyDescent="0.25">
      <c r="M61" s="82">
        <f t="shared" si="0"/>
        <v>0</v>
      </c>
      <c r="N61" s="82">
        <f t="shared" si="1"/>
        <v>0</v>
      </c>
    </row>
    <row r="62" spans="13:14" x14ac:dyDescent="0.25">
      <c r="M62" s="82">
        <f t="shared" si="0"/>
        <v>0</v>
      </c>
      <c r="N62" s="82">
        <f t="shared" si="1"/>
        <v>0</v>
      </c>
    </row>
    <row r="63" spans="13:14" x14ac:dyDescent="0.25">
      <c r="M63" s="82">
        <f t="shared" si="0"/>
        <v>0</v>
      </c>
      <c r="N63" s="82">
        <f t="shared" si="1"/>
        <v>0</v>
      </c>
    </row>
    <row r="64" spans="13:14" x14ac:dyDescent="0.25">
      <c r="M64" s="82">
        <f t="shared" si="0"/>
        <v>0</v>
      </c>
      <c r="N64" s="82">
        <f t="shared" si="1"/>
        <v>0</v>
      </c>
    </row>
    <row r="65" spans="13:14" x14ac:dyDescent="0.25">
      <c r="M65" s="82">
        <f t="shared" si="0"/>
        <v>0</v>
      </c>
      <c r="N65" s="82">
        <f t="shared" si="1"/>
        <v>0</v>
      </c>
    </row>
    <row r="66" spans="13:14" x14ac:dyDescent="0.25">
      <c r="M66" s="82">
        <f t="shared" si="0"/>
        <v>0</v>
      </c>
      <c r="N66" s="82">
        <f t="shared" si="1"/>
        <v>0</v>
      </c>
    </row>
    <row r="67" spans="13:14" x14ac:dyDescent="0.25">
      <c r="M67" s="82">
        <f t="shared" si="0"/>
        <v>0</v>
      </c>
      <c r="N67" s="82">
        <f t="shared" si="1"/>
        <v>0</v>
      </c>
    </row>
    <row r="68" spans="13:14" x14ac:dyDescent="0.25">
      <c r="M68" s="82">
        <f t="shared" si="0"/>
        <v>0</v>
      </c>
      <c r="N68" s="82">
        <f t="shared" si="1"/>
        <v>0</v>
      </c>
    </row>
    <row r="69" spans="13:14" x14ac:dyDescent="0.25">
      <c r="M69" s="82">
        <f t="shared" si="0"/>
        <v>0</v>
      </c>
      <c r="N69" s="82">
        <f t="shared" si="1"/>
        <v>0</v>
      </c>
    </row>
    <row r="70" spans="13:14" x14ac:dyDescent="0.25">
      <c r="M70" s="82">
        <f t="shared" ref="M70:M125" si="2">(K70*(1+H70)+L70)*(1+G70)</f>
        <v>0</v>
      </c>
      <c r="N70" s="82">
        <f t="shared" ref="N70:N125" si="3">K70*I70</f>
        <v>0</v>
      </c>
    </row>
    <row r="71" spans="13:14" x14ac:dyDescent="0.25">
      <c r="M71" s="82">
        <f t="shared" si="2"/>
        <v>0</v>
      </c>
      <c r="N71" s="82">
        <f t="shared" si="3"/>
        <v>0</v>
      </c>
    </row>
    <row r="72" spans="13:14" x14ac:dyDescent="0.25">
      <c r="M72" s="82">
        <f t="shared" si="2"/>
        <v>0</v>
      </c>
      <c r="N72" s="82">
        <f t="shared" si="3"/>
        <v>0</v>
      </c>
    </row>
    <row r="73" spans="13:14" x14ac:dyDescent="0.25">
      <c r="M73" s="82">
        <f t="shared" si="2"/>
        <v>0</v>
      </c>
      <c r="N73" s="82">
        <f t="shared" si="3"/>
        <v>0</v>
      </c>
    </row>
    <row r="74" spans="13:14" x14ac:dyDescent="0.25">
      <c r="M74" s="82">
        <f t="shared" si="2"/>
        <v>0</v>
      </c>
      <c r="N74" s="82">
        <f t="shared" si="3"/>
        <v>0</v>
      </c>
    </row>
    <row r="75" spans="13:14" x14ac:dyDescent="0.25">
      <c r="M75" s="82">
        <f t="shared" si="2"/>
        <v>0</v>
      </c>
      <c r="N75" s="82">
        <f t="shared" si="3"/>
        <v>0</v>
      </c>
    </row>
    <row r="76" spans="13:14" x14ac:dyDescent="0.25">
      <c r="M76" s="82">
        <f t="shared" si="2"/>
        <v>0</v>
      </c>
      <c r="N76" s="82">
        <f t="shared" si="3"/>
        <v>0</v>
      </c>
    </row>
    <row r="77" spans="13:14" x14ac:dyDescent="0.25">
      <c r="M77" s="82">
        <f t="shared" si="2"/>
        <v>0</v>
      </c>
      <c r="N77" s="82">
        <f t="shared" si="3"/>
        <v>0</v>
      </c>
    </row>
    <row r="78" spans="13:14" x14ac:dyDescent="0.25">
      <c r="M78" s="82">
        <f t="shared" si="2"/>
        <v>0</v>
      </c>
      <c r="N78" s="82">
        <f t="shared" si="3"/>
        <v>0</v>
      </c>
    </row>
    <row r="79" spans="13:14" x14ac:dyDescent="0.25">
      <c r="M79" s="82">
        <f t="shared" si="2"/>
        <v>0</v>
      </c>
      <c r="N79" s="82">
        <f t="shared" si="3"/>
        <v>0</v>
      </c>
    </row>
    <row r="80" spans="13:14" x14ac:dyDescent="0.25">
      <c r="M80" s="82">
        <f t="shared" si="2"/>
        <v>0</v>
      </c>
      <c r="N80" s="82">
        <f t="shared" si="3"/>
        <v>0</v>
      </c>
    </row>
    <row r="81" spans="13:14" x14ac:dyDescent="0.25">
      <c r="M81" s="82">
        <f t="shared" si="2"/>
        <v>0</v>
      </c>
      <c r="N81" s="82">
        <f t="shared" si="3"/>
        <v>0</v>
      </c>
    </row>
    <row r="82" spans="13:14" x14ac:dyDescent="0.25">
      <c r="M82" s="82">
        <f t="shared" si="2"/>
        <v>0</v>
      </c>
      <c r="N82" s="82">
        <f t="shared" si="3"/>
        <v>0</v>
      </c>
    </row>
    <row r="83" spans="13:14" x14ac:dyDescent="0.25">
      <c r="M83" s="82">
        <f t="shared" si="2"/>
        <v>0</v>
      </c>
      <c r="N83" s="82">
        <f t="shared" si="3"/>
        <v>0</v>
      </c>
    </row>
    <row r="84" spans="13:14" x14ac:dyDescent="0.25">
      <c r="M84" s="82">
        <f t="shared" si="2"/>
        <v>0</v>
      </c>
      <c r="N84" s="82">
        <f t="shared" si="3"/>
        <v>0</v>
      </c>
    </row>
    <row r="85" spans="13:14" x14ac:dyDescent="0.25">
      <c r="M85" s="82">
        <f t="shared" si="2"/>
        <v>0</v>
      </c>
      <c r="N85" s="82">
        <f t="shared" si="3"/>
        <v>0</v>
      </c>
    </row>
    <row r="86" spans="13:14" x14ac:dyDescent="0.25">
      <c r="M86" s="82">
        <f t="shared" si="2"/>
        <v>0</v>
      </c>
      <c r="N86" s="82">
        <f t="shared" si="3"/>
        <v>0</v>
      </c>
    </row>
    <row r="87" spans="13:14" x14ac:dyDescent="0.25">
      <c r="M87" s="82">
        <f t="shared" si="2"/>
        <v>0</v>
      </c>
      <c r="N87" s="82">
        <f t="shared" si="3"/>
        <v>0</v>
      </c>
    </row>
    <row r="88" spans="13:14" x14ac:dyDescent="0.25">
      <c r="M88" s="82">
        <f t="shared" si="2"/>
        <v>0</v>
      </c>
      <c r="N88" s="82">
        <f t="shared" si="3"/>
        <v>0</v>
      </c>
    </row>
    <row r="89" spans="13:14" x14ac:dyDescent="0.25">
      <c r="M89" s="82">
        <f t="shared" si="2"/>
        <v>0</v>
      </c>
      <c r="N89" s="82">
        <f t="shared" si="3"/>
        <v>0</v>
      </c>
    </row>
    <row r="90" spans="13:14" x14ac:dyDescent="0.25">
      <c r="M90" s="82">
        <f t="shared" si="2"/>
        <v>0</v>
      </c>
      <c r="N90" s="82">
        <f t="shared" si="3"/>
        <v>0</v>
      </c>
    </row>
    <row r="91" spans="13:14" x14ac:dyDescent="0.25">
      <c r="M91" s="82">
        <f t="shared" si="2"/>
        <v>0</v>
      </c>
      <c r="N91" s="82">
        <f t="shared" si="3"/>
        <v>0</v>
      </c>
    </row>
    <row r="92" spans="13:14" x14ac:dyDescent="0.25">
      <c r="M92" s="82">
        <f t="shared" si="2"/>
        <v>0</v>
      </c>
      <c r="N92" s="82">
        <f t="shared" si="3"/>
        <v>0</v>
      </c>
    </row>
    <row r="93" spans="13:14" x14ac:dyDescent="0.25">
      <c r="M93" s="82">
        <f t="shared" si="2"/>
        <v>0</v>
      </c>
      <c r="N93" s="82">
        <f t="shared" si="3"/>
        <v>0</v>
      </c>
    </row>
    <row r="94" spans="13:14" x14ac:dyDescent="0.25">
      <c r="M94" s="82">
        <f t="shared" si="2"/>
        <v>0</v>
      </c>
      <c r="N94" s="82">
        <f t="shared" si="3"/>
        <v>0</v>
      </c>
    </row>
    <row r="95" spans="13:14" x14ac:dyDescent="0.25">
      <c r="M95" s="82">
        <f t="shared" si="2"/>
        <v>0</v>
      </c>
      <c r="N95" s="82">
        <f t="shared" si="3"/>
        <v>0</v>
      </c>
    </row>
    <row r="96" spans="13:14" x14ac:dyDescent="0.25">
      <c r="M96" s="82">
        <f t="shared" si="2"/>
        <v>0</v>
      </c>
      <c r="N96" s="82">
        <f t="shared" si="3"/>
        <v>0</v>
      </c>
    </row>
    <row r="97" spans="13:14" x14ac:dyDescent="0.25">
      <c r="M97" s="82">
        <f t="shared" si="2"/>
        <v>0</v>
      </c>
      <c r="N97" s="82">
        <f t="shared" si="3"/>
        <v>0</v>
      </c>
    </row>
    <row r="98" spans="13:14" x14ac:dyDescent="0.25">
      <c r="M98" s="82">
        <f t="shared" si="2"/>
        <v>0</v>
      </c>
      <c r="N98" s="82">
        <f t="shared" si="3"/>
        <v>0</v>
      </c>
    </row>
    <row r="99" spans="13:14" x14ac:dyDescent="0.25">
      <c r="M99" s="82">
        <f t="shared" si="2"/>
        <v>0</v>
      </c>
      <c r="N99" s="82">
        <f t="shared" si="3"/>
        <v>0</v>
      </c>
    </row>
    <row r="100" spans="13:14" x14ac:dyDescent="0.25">
      <c r="M100" s="82">
        <f t="shared" si="2"/>
        <v>0</v>
      </c>
      <c r="N100" s="82">
        <f t="shared" si="3"/>
        <v>0</v>
      </c>
    </row>
    <row r="101" spans="13:14" x14ac:dyDescent="0.25">
      <c r="M101" s="82">
        <f t="shared" si="2"/>
        <v>0</v>
      </c>
      <c r="N101" s="82">
        <f t="shared" si="3"/>
        <v>0</v>
      </c>
    </row>
    <row r="102" spans="13:14" x14ac:dyDescent="0.25">
      <c r="M102" s="82">
        <f t="shared" si="2"/>
        <v>0</v>
      </c>
      <c r="N102" s="82">
        <f t="shared" si="3"/>
        <v>0</v>
      </c>
    </row>
    <row r="103" spans="13:14" x14ac:dyDescent="0.25">
      <c r="M103" s="82">
        <f t="shared" si="2"/>
        <v>0</v>
      </c>
      <c r="N103" s="82">
        <f t="shared" si="3"/>
        <v>0</v>
      </c>
    </row>
    <row r="104" spans="13:14" x14ac:dyDescent="0.25">
      <c r="M104" s="82">
        <f t="shared" si="2"/>
        <v>0</v>
      </c>
      <c r="N104" s="82">
        <f t="shared" si="3"/>
        <v>0</v>
      </c>
    </row>
    <row r="105" spans="13:14" x14ac:dyDescent="0.25">
      <c r="M105" s="82">
        <f t="shared" si="2"/>
        <v>0</v>
      </c>
      <c r="N105" s="82">
        <f t="shared" si="3"/>
        <v>0</v>
      </c>
    </row>
    <row r="106" spans="13:14" x14ac:dyDescent="0.25">
      <c r="M106" s="82">
        <f t="shared" si="2"/>
        <v>0</v>
      </c>
      <c r="N106" s="82">
        <f t="shared" si="3"/>
        <v>0</v>
      </c>
    </row>
    <row r="107" spans="13:14" x14ac:dyDescent="0.25">
      <c r="M107" s="82">
        <f t="shared" si="2"/>
        <v>0</v>
      </c>
      <c r="N107" s="82">
        <f t="shared" si="3"/>
        <v>0</v>
      </c>
    </row>
    <row r="108" spans="13:14" x14ac:dyDescent="0.25">
      <c r="M108" s="82">
        <f t="shared" si="2"/>
        <v>0</v>
      </c>
      <c r="N108" s="82">
        <f t="shared" si="3"/>
        <v>0</v>
      </c>
    </row>
    <row r="109" spans="13:14" x14ac:dyDescent="0.25">
      <c r="M109" s="82">
        <f t="shared" si="2"/>
        <v>0</v>
      </c>
      <c r="N109" s="82">
        <f t="shared" si="3"/>
        <v>0</v>
      </c>
    </row>
    <row r="110" spans="13:14" x14ac:dyDescent="0.25">
      <c r="M110" s="82">
        <f t="shared" si="2"/>
        <v>0</v>
      </c>
      <c r="N110" s="82">
        <f t="shared" si="3"/>
        <v>0</v>
      </c>
    </row>
    <row r="111" spans="13:14" x14ac:dyDescent="0.25">
      <c r="M111" s="82">
        <f t="shared" si="2"/>
        <v>0</v>
      </c>
      <c r="N111" s="82">
        <f t="shared" si="3"/>
        <v>0</v>
      </c>
    </row>
    <row r="112" spans="13:14" x14ac:dyDescent="0.25">
      <c r="M112" s="82">
        <f t="shared" si="2"/>
        <v>0</v>
      </c>
      <c r="N112" s="82">
        <f t="shared" si="3"/>
        <v>0</v>
      </c>
    </row>
    <row r="113" spans="6:14" x14ac:dyDescent="0.25">
      <c r="M113" s="82">
        <f t="shared" si="2"/>
        <v>0</v>
      </c>
      <c r="N113" s="82">
        <f t="shared" si="3"/>
        <v>0</v>
      </c>
    </row>
    <row r="114" spans="6:14" x14ac:dyDescent="0.25">
      <c r="M114" s="82">
        <f t="shared" si="2"/>
        <v>0</v>
      </c>
      <c r="N114" s="82">
        <f t="shared" si="3"/>
        <v>0</v>
      </c>
    </row>
    <row r="115" spans="6:14" x14ac:dyDescent="0.25">
      <c r="M115" s="82">
        <f t="shared" si="2"/>
        <v>0</v>
      </c>
      <c r="N115" s="82">
        <f t="shared" si="3"/>
        <v>0</v>
      </c>
    </row>
    <row r="116" spans="6:14" x14ac:dyDescent="0.25">
      <c r="M116" s="82">
        <f t="shared" si="2"/>
        <v>0</v>
      </c>
      <c r="N116" s="82">
        <f t="shared" si="3"/>
        <v>0</v>
      </c>
    </row>
    <row r="117" spans="6:14" x14ac:dyDescent="0.25">
      <c r="M117" s="82">
        <f t="shared" si="2"/>
        <v>0</v>
      </c>
      <c r="N117" s="82">
        <f t="shared" si="3"/>
        <v>0</v>
      </c>
    </row>
    <row r="118" spans="6:14" x14ac:dyDescent="0.25">
      <c r="M118" s="82">
        <f t="shared" si="2"/>
        <v>0</v>
      </c>
      <c r="N118" s="82">
        <f t="shared" si="3"/>
        <v>0</v>
      </c>
    </row>
    <row r="119" spans="6:14" x14ac:dyDescent="0.25">
      <c r="M119" s="82">
        <f t="shared" si="2"/>
        <v>0</v>
      </c>
      <c r="N119" s="82">
        <f t="shared" si="3"/>
        <v>0</v>
      </c>
    </row>
    <row r="120" spans="6:14" x14ac:dyDescent="0.25">
      <c r="M120" s="82">
        <f t="shared" si="2"/>
        <v>0</v>
      </c>
      <c r="N120" s="82">
        <f t="shared" si="3"/>
        <v>0</v>
      </c>
    </row>
    <row r="121" spans="6:14" x14ac:dyDescent="0.25">
      <c r="M121" s="82">
        <f t="shared" si="2"/>
        <v>0</v>
      </c>
      <c r="N121" s="82">
        <f t="shared" si="3"/>
        <v>0</v>
      </c>
    </row>
    <row r="122" spans="6:14" x14ac:dyDescent="0.25">
      <c r="M122" s="82">
        <f t="shared" si="2"/>
        <v>0</v>
      </c>
      <c r="N122" s="82">
        <f t="shared" si="3"/>
        <v>0</v>
      </c>
    </row>
    <row r="123" spans="6:14" x14ac:dyDescent="0.25">
      <c r="M123" s="82">
        <f t="shared" si="2"/>
        <v>0</v>
      </c>
      <c r="N123" s="82">
        <f t="shared" si="3"/>
        <v>0</v>
      </c>
    </row>
    <row r="124" spans="6:14" x14ac:dyDescent="0.25">
      <c r="M124" s="82">
        <f t="shared" si="2"/>
        <v>0</v>
      </c>
      <c r="N124" s="82">
        <f t="shared" si="3"/>
        <v>0</v>
      </c>
    </row>
    <row r="125" spans="6:14" x14ac:dyDescent="0.25">
      <c r="M125" s="82">
        <f t="shared" si="2"/>
        <v>0</v>
      </c>
      <c r="N125" s="82">
        <f t="shared" si="3"/>
        <v>0</v>
      </c>
    </row>
    <row r="126" spans="6:14" x14ac:dyDescent="0.25">
      <c r="M126" s="86">
        <f>SUM(M5:M125)</f>
        <v>14736.639999999998</v>
      </c>
      <c r="N126" s="86">
        <f>SUM(N5:N125)</f>
        <v>1740</v>
      </c>
    </row>
    <row r="127" spans="6:14" x14ac:dyDescent="0.25">
      <c r="F127" s="49"/>
      <c r="G127" s="81"/>
      <c r="H127" s="81"/>
      <c r="I127" s="81"/>
      <c r="J127" s="82"/>
      <c r="K127" s="83"/>
      <c r="L127" s="83"/>
      <c r="M127" s="84"/>
      <c r="N127" s="84"/>
    </row>
    <row r="128" spans="6:14" ht="21" x14ac:dyDescent="0.35">
      <c r="J128" s="82"/>
      <c r="K128" s="83"/>
      <c r="L128" s="83"/>
      <c r="M128" s="85"/>
      <c r="N128" s="85"/>
    </row>
  </sheetData>
  <pageMargins left="0.7" right="0.7" top="0.75" bottom="0.75" header="0.3" footer="0.3"/>
  <pageSetup paperSize="9" orientation="portrait" horizontalDpi="360" verticalDpi="36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340BE-6538-4994-AF32-89F75D3EAFF2}">
  <dimension ref="B1:T55"/>
  <sheetViews>
    <sheetView showGridLines="0" zoomScale="85" zoomScaleNormal="85" workbookViewId="0">
      <selection activeCell="Q37" sqref="Q37:R39"/>
    </sheetView>
  </sheetViews>
  <sheetFormatPr baseColWidth="10" defaultColWidth="11.5703125" defaultRowHeight="15" x14ac:dyDescent="0.25"/>
  <cols>
    <col min="1" max="1" width="3.85546875" customWidth="1"/>
    <col min="2" max="2" width="22.7109375" customWidth="1"/>
    <col min="3" max="3" width="15.5703125" customWidth="1"/>
    <col min="4" max="4" width="0.28515625" customWidth="1"/>
    <col min="5" max="6" width="15.7109375" customWidth="1"/>
    <col min="7" max="7" width="0.5703125" customWidth="1"/>
    <col min="8" max="9" width="15.7109375" customWidth="1"/>
    <col min="10" max="10" width="0.5703125" customWidth="1"/>
    <col min="11" max="12" width="15.7109375" customWidth="1"/>
    <col min="13" max="13" width="0.5703125" customWidth="1"/>
    <col min="14" max="15" width="15.7109375" customWidth="1"/>
    <col min="16" max="16" width="0.5703125" customWidth="1"/>
    <col min="17" max="18" width="15.7109375" customWidth="1"/>
    <col min="19" max="19" width="0.5703125" customWidth="1"/>
  </cols>
  <sheetData>
    <row r="1" spans="2:20" ht="3.6" customHeight="1" x14ac:dyDescent="0.25"/>
    <row r="2" spans="2:20" ht="26.25" customHeight="1" x14ac:dyDescent="0.4">
      <c r="B2" s="8" t="s">
        <v>11</v>
      </c>
      <c r="C2" s="13"/>
      <c r="N2" s="14"/>
      <c r="O2" s="14"/>
      <c r="Q2" s="14"/>
      <c r="R2" s="14"/>
    </row>
    <row r="3" spans="2:20" ht="3.6" customHeight="1" x14ac:dyDescent="0.25"/>
    <row r="4" spans="2:20" ht="21" customHeight="1" x14ac:dyDescent="0.25">
      <c r="B4" s="15" t="s">
        <v>12</v>
      </c>
      <c r="C4" s="117" t="e">
        <f>#REF!</f>
        <v>#REF!</v>
      </c>
      <c r="D4" s="117"/>
      <c r="E4" s="117"/>
      <c r="F4" s="117"/>
      <c r="G4" s="117"/>
      <c r="H4" s="118"/>
      <c r="I4" s="16"/>
      <c r="J4" s="16"/>
      <c r="K4" s="17"/>
      <c r="L4" s="17"/>
      <c r="M4" s="17"/>
      <c r="N4" s="18"/>
      <c r="O4" s="18"/>
      <c r="P4" s="17"/>
      <c r="Q4" s="18"/>
      <c r="R4" s="18"/>
    </row>
    <row r="5" spans="2:20" ht="15" customHeight="1" x14ac:dyDescent="0.25"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P5" s="17"/>
    </row>
    <row r="6" spans="2:20" ht="15" customHeight="1" x14ac:dyDescent="0.25"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P6" s="17"/>
    </row>
    <row r="7" spans="2:20" ht="15" customHeight="1" x14ac:dyDescent="0.25"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P7" s="17"/>
    </row>
    <row r="8" spans="2:20" ht="15" customHeight="1" x14ac:dyDescent="0.25"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P8" s="17"/>
    </row>
    <row r="9" spans="2:20" ht="15" customHeight="1" x14ac:dyDescent="0.25"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P9" s="17"/>
    </row>
    <row r="10" spans="2:20" ht="15" customHeight="1" x14ac:dyDescent="0.25"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P10" s="17"/>
    </row>
    <row r="11" spans="2:20" ht="15" customHeight="1" x14ac:dyDescent="0.25"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P11" s="17"/>
    </row>
    <row r="12" spans="2:20" ht="15" customHeight="1" x14ac:dyDescent="0.25"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P12" s="17"/>
    </row>
    <row r="13" spans="2:20" ht="15" customHeight="1" x14ac:dyDescent="0.25"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P13" s="17"/>
    </row>
    <row r="14" spans="2:20" s="9" customFormat="1" ht="15.6" customHeight="1" x14ac:dyDescent="0.25">
      <c r="B14" s="19"/>
      <c r="C14" s="115" t="s">
        <v>31</v>
      </c>
      <c r="D14" s="119"/>
      <c r="E14" s="119"/>
      <c r="F14" s="116"/>
      <c r="G14" s="17"/>
      <c r="H14" s="115" t="s">
        <v>32</v>
      </c>
      <c r="I14" s="116"/>
      <c r="J14" s="17"/>
      <c r="K14" s="115" t="s">
        <v>33</v>
      </c>
      <c r="L14" s="116"/>
      <c r="M14" s="17"/>
      <c r="N14" s="115" t="s">
        <v>34</v>
      </c>
      <c r="O14" s="116"/>
      <c r="P14" s="17"/>
      <c r="Q14" s="115" t="s">
        <v>35</v>
      </c>
      <c r="R14" s="116"/>
      <c r="S14" s="20"/>
      <c r="T14" s="20"/>
    </row>
    <row r="15" spans="2:20" s="9" customFormat="1" ht="3" customHeight="1" x14ac:dyDescent="0.25">
      <c r="D15" s="17"/>
      <c r="G15" s="17"/>
      <c r="J15" s="17"/>
      <c r="M15" s="17"/>
      <c r="P15" s="17"/>
      <c r="S15" s="17"/>
    </row>
    <row r="16" spans="2:20" s="21" customFormat="1" ht="25.15" customHeight="1" x14ac:dyDescent="0.25">
      <c r="C16" s="22" t="s">
        <v>13</v>
      </c>
      <c r="D16" s="17"/>
      <c r="E16" s="22" t="s">
        <v>9</v>
      </c>
      <c r="F16" s="22" t="s">
        <v>10</v>
      </c>
      <c r="G16" s="17"/>
      <c r="H16" s="22" t="s">
        <v>9</v>
      </c>
      <c r="I16" s="22" t="s">
        <v>10</v>
      </c>
      <c r="J16" s="17"/>
      <c r="K16" s="22" t="s">
        <v>9</v>
      </c>
      <c r="L16" s="22" t="s">
        <v>10</v>
      </c>
      <c r="M16" s="17"/>
      <c r="N16" s="22" t="s">
        <v>9</v>
      </c>
      <c r="O16" s="22" t="s">
        <v>10</v>
      </c>
      <c r="P16" s="17"/>
      <c r="Q16" s="22" t="s">
        <v>9</v>
      </c>
      <c r="R16" s="22" t="s">
        <v>10</v>
      </c>
      <c r="S16" s="17"/>
    </row>
    <row r="17" spans="2:20" ht="4.9000000000000004" customHeight="1" x14ac:dyDescent="0.25">
      <c r="D17" s="17"/>
      <c r="E17" s="80"/>
      <c r="F17" s="80"/>
      <c r="G17" s="59"/>
      <c r="H17" s="80"/>
      <c r="I17" s="80"/>
      <c r="J17" s="59"/>
      <c r="K17" s="80"/>
      <c r="L17" s="80"/>
      <c r="M17" s="59"/>
      <c r="N17" s="80"/>
      <c r="O17" s="80"/>
      <c r="P17" s="59"/>
      <c r="Q17" s="80"/>
      <c r="R17" s="80"/>
      <c r="S17" s="59"/>
      <c r="T17" s="80"/>
    </row>
    <row r="18" spans="2:20" x14ac:dyDescent="0.25">
      <c r="B18" s="23" t="s">
        <v>14</v>
      </c>
      <c r="C18" s="24">
        <f>VLOOKUP("Total general",'TD-Prueba'!$A$3:$P$17,'TD-Prueba'!B$2,0)</f>
        <v>14</v>
      </c>
      <c r="D18" s="17"/>
      <c r="E18" s="25">
        <f>VLOOKUP("Total general",'TD-Prueba'!$A$3:$AX$1048576,'TD-Prueba'!D2,0)</f>
        <v>5</v>
      </c>
      <c r="F18" s="25">
        <f>VLOOKUP("Total general",'TD-Prueba'!$A$3:$AX$1048576,'TD-Prueba'!D2,0)</f>
        <v>5</v>
      </c>
      <c r="G18" s="17"/>
      <c r="H18" s="26">
        <f>VLOOKUP("Total general",'TD-Prueba'!$A$3:$AX$1048576,'TD-Prueba'!G$2,0)</f>
        <v>1</v>
      </c>
      <c r="I18" s="25">
        <f>VLOOKUP("Total general",'TD-Prueba'!$A$3:$AX$1048576,'TD-Prueba'!G$2,0)</f>
        <v>1</v>
      </c>
      <c r="J18" s="17"/>
      <c r="K18" s="26">
        <f>VLOOKUP("Total general",'TD-Prueba'!$A$3:$AX$1048576,'TD-Prueba'!J$2,0)</f>
        <v>1</v>
      </c>
      <c r="L18" s="25">
        <f>VLOOKUP("Total general",'TD-Prueba'!$A$3:$AX$1048576,'TD-Prueba'!J$2,0)</f>
        <v>1</v>
      </c>
      <c r="M18" s="17"/>
      <c r="N18" s="26">
        <f>VLOOKUP("Total general",'TD-Prueba'!$A$3:$AX$1048576,'TD-Prueba'!M$2,0)</f>
        <v>1</v>
      </c>
      <c r="O18" s="25">
        <f>VLOOKUP("Total general",'TD-Prueba'!$A$3:$AX$1048576,'TD-Prueba'!M$2,0)</f>
        <v>1</v>
      </c>
      <c r="P18" s="17"/>
      <c r="Q18" s="26">
        <f>VLOOKUP("Total general",'TD-Prueba'!$A$3:$P$17,'TD-Prueba'!P$2,0)</f>
        <v>1</v>
      </c>
      <c r="R18" s="25">
        <f>VLOOKUP("Total general",'TD-Prueba'!$A$3:$AX$1048576,'TD-Prueba'!P$2,0)</f>
        <v>1</v>
      </c>
      <c r="S18" s="17"/>
    </row>
    <row r="19" spans="2:20" x14ac:dyDescent="0.25">
      <c r="B19" s="27" t="s">
        <v>15</v>
      </c>
      <c r="C19" s="28"/>
      <c r="D19" s="17"/>
      <c r="E19" s="29"/>
      <c r="F19" s="30"/>
      <c r="G19" s="17"/>
      <c r="H19" s="29"/>
      <c r="I19" s="30"/>
      <c r="J19" s="17"/>
      <c r="K19" s="29"/>
      <c r="L19" s="30"/>
      <c r="M19" s="17"/>
      <c r="N19" s="29"/>
      <c r="O19" s="30"/>
      <c r="P19" s="17"/>
      <c r="Q19" s="29"/>
      <c r="R19" s="30"/>
      <c r="S19" s="17"/>
    </row>
    <row r="20" spans="2:20" ht="4.9000000000000004" customHeight="1" x14ac:dyDescent="0.25">
      <c r="B20" s="31"/>
      <c r="C20" s="32"/>
      <c r="D20" s="17"/>
      <c r="E20" s="33"/>
      <c r="F20" s="33"/>
      <c r="G20" s="17"/>
      <c r="H20" s="33"/>
      <c r="I20" s="33"/>
      <c r="J20" s="17"/>
      <c r="K20" s="33"/>
      <c r="L20" s="33"/>
      <c r="M20" s="17"/>
      <c r="N20" s="33"/>
      <c r="O20" s="33"/>
      <c r="P20" s="17"/>
      <c r="Q20" s="33"/>
      <c r="R20" s="33"/>
      <c r="S20" s="17"/>
    </row>
    <row r="21" spans="2:20" s="37" customFormat="1" ht="15.75" x14ac:dyDescent="0.25">
      <c r="B21" s="34" t="s">
        <v>16</v>
      </c>
      <c r="C21" s="35">
        <f>VLOOKUP("Total general",'TD-Prueba'!$A$3:$P$17,'TD-Prueba'!C$2,0)</f>
        <v>11600</v>
      </c>
      <c r="D21" s="17"/>
      <c r="E21" s="36">
        <f>VLOOKUP("Total general",'TD-Prueba'!$A$3:$AX$1048576,'TD-Prueba'!E2,0)</f>
        <v>5</v>
      </c>
      <c r="F21" s="36">
        <f>VLOOKUP("Total general",'TD-Prueba'!$A$3:$AX$1048576,'TD-Prueba'!F2,0)</f>
        <v>2</v>
      </c>
      <c r="G21" s="17"/>
      <c r="H21" s="36">
        <f>VLOOKUP("Total general",'TD-Prueba'!$A$3:$AX$1048576,'TD-Prueba'!H2,0)</f>
        <v>3</v>
      </c>
      <c r="I21" s="36">
        <f>VLOOKUP("Total general",'TD-Prueba'!$A$3:$AX$1048576,'TD-Prueba'!I2,0)</f>
        <v>4</v>
      </c>
      <c r="J21" s="17"/>
      <c r="K21" s="36">
        <f>VLOOKUP("Total general",'TD-Prueba'!$A$3:$AX$1048576,'TD-Prueba'!K2,0)</f>
        <v>5</v>
      </c>
      <c r="L21" s="36">
        <f>VLOOKUP("Total general",'TD-Prueba'!$A$3:$AX$1048576,'TD-Prueba'!L2,0)</f>
        <v>6</v>
      </c>
      <c r="M21" s="17"/>
      <c r="N21" s="36">
        <f>VLOOKUP("Total general",'TD-Prueba'!$A$3:$AX$1048576,'TD-Prueba'!N2,0)</f>
        <v>7</v>
      </c>
      <c r="O21" s="36">
        <f>VLOOKUP("Total general",'TD-Prueba'!$A$3:$AX$1048576,'TD-Prueba'!O2,0)</f>
        <v>8</v>
      </c>
      <c r="P21" s="17"/>
      <c r="Q21" s="36">
        <f>VLOOKUP("Total general",'TD-Prueba'!$A$3:$AX$1048576,'TD-Prueba'!Q2,0)</f>
        <v>9</v>
      </c>
      <c r="R21" s="36">
        <f>VLOOKUP("Total general",'TD-Prueba'!$A$3:$AX$1048576,'TD-Prueba'!R2,0)</f>
        <v>10</v>
      </c>
      <c r="S21" s="17"/>
    </row>
    <row r="22" spans="2:20" x14ac:dyDescent="0.25">
      <c r="B22" s="38" t="s">
        <v>17</v>
      </c>
      <c r="C22" s="39">
        <f>C19*C18</f>
        <v>0</v>
      </c>
      <c r="D22" s="17"/>
      <c r="E22" s="39">
        <f>E19*E18</f>
        <v>0</v>
      </c>
      <c r="F22" s="39">
        <f>F19*F18</f>
        <v>0</v>
      </c>
      <c r="G22" s="17"/>
      <c r="H22" s="39">
        <f>H19*H18</f>
        <v>0</v>
      </c>
      <c r="I22" s="39">
        <f>I19*I18</f>
        <v>0</v>
      </c>
      <c r="J22" s="17"/>
      <c r="K22" s="39">
        <f>K19*K18</f>
        <v>0</v>
      </c>
      <c r="L22" s="39">
        <f>L19*L18</f>
        <v>0</v>
      </c>
      <c r="M22" s="17"/>
      <c r="N22" s="39">
        <f>N19*N18</f>
        <v>0</v>
      </c>
      <c r="O22" s="39">
        <f>O19*O18</f>
        <v>0</v>
      </c>
      <c r="P22" s="17"/>
      <c r="Q22" s="39">
        <f>Q19*Q18</f>
        <v>0</v>
      </c>
      <c r="R22" s="39">
        <f>R19*R18</f>
        <v>0</v>
      </c>
      <c r="S22" s="17"/>
    </row>
    <row r="23" spans="2:20" ht="30" x14ac:dyDescent="0.25">
      <c r="B23" s="38" t="s">
        <v>52</v>
      </c>
      <c r="C23" s="39" t="e">
        <f>C21*C36</f>
        <v>#VALUE!</v>
      </c>
      <c r="D23" s="17"/>
      <c r="E23" s="39" t="e">
        <f>E21*E36</f>
        <v>#VALUE!</v>
      </c>
      <c r="F23" s="39" t="e">
        <f>F21*E36</f>
        <v>#VALUE!</v>
      </c>
      <c r="G23" s="17"/>
      <c r="H23" s="39" t="e">
        <f>H21*H36</f>
        <v>#VALUE!</v>
      </c>
      <c r="I23" s="39" t="e">
        <f>I21*H36</f>
        <v>#VALUE!</v>
      </c>
      <c r="J23" s="17"/>
      <c r="K23" s="39" t="e">
        <f>K21*K36</f>
        <v>#VALUE!</v>
      </c>
      <c r="L23" s="39" t="e">
        <f>L21*K36</f>
        <v>#VALUE!</v>
      </c>
      <c r="M23" s="17"/>
      <c r="N23" s="39" t="e">
        <f>N21*N36</f>
        <v>#VALUE!</v>
      </c>
      <c r="O23" s="39" t="e">
        <f>O21*N36</f>
        <v>#VALUE!</v>
      </c>
      <c r="P23" s="17"/>
      <c r="Q23" s="39" t="e">
        <f>Q21*Q36</f>
        <v>#VALUE!</v>
      </c>
      <c r="R23" s="39" t="e">
        <f>R21*Q36</f>
        <v>#VALUE!</v>
      </c>
      <c r="S23" s="17"/>
    </row>
    <row r="24" spans="2:20" x14ac:dyDescent="0.25">
      <c r="B24" s="38" t="s">
        <v>18</v>
      </c>
      <c r="C24" s="39" t="e">
        <f>SUM(C21:C23)*0.16</f>
        <v>#VALUE!</v>
      </c>
      <c r="D24" s="17"/>
      <c r="E24" s="39" t="e">
        <f>SUM(E21:E23)*0.16</f>
        <v>#VALUE!</v>
      </c>
      <c r="F24" s="39" t="e">
        <f>SUM(F21:F23)*0.16</f>
        <v>#VALUE!</v>
      </c>
      <c r="G24" s="17"/>
      <c r="H24" s="39" t="e">
        <f>SUM(H21:H23)*0.16</f>
        <v>#VALUE!</v>
      </c>
      <c r="I24" s="39" t="e">
        <f>SUM(I21:I23)*0.16</f>
        <v>#VALUE!</v>
      </c>
      <c r="J24" s="17"/>
      <c r="K24" s="39" t="e">
        <f>SUM(K21:K23)*0.16</f>
        <v>#VALUE!</v>
      </c>
      <c r="L24" s="39" t="e">
        <f>SUM(L21:L23)*0.16</f>
        <v>#VALUE!</v>
      </c>
      <c r="M24" s="17"/>
      <c r="N24" s="39" t="e">
        <f>SUM(N21:N23)*0.16</f>
        <v>#VALUE!</v>
      </c>
      <c r="O24" s="39" t="e">
        <f>SUM(O21:O23)*0.16</f>
        <v>#VALUE!</v>
      </c>
      <c r="P24" s="17"/>
      <c r="Q24" s="39" t="e">
        <f>SUM(Q21:Q23)*0.16</f>
        <v>#VALUE!</v>
      </c>
      <c r="R24" s="39" t="e">
        <f>SUM(R21:R23)*0.16</f>
        <v>#VALUE!</v>
      </c>
      <c r="S24" s="17"/>
    </row>
    <row r="25" spans="2:20" s="37" customFormat="1" ht="15.75" x14ac:dyDescent="0.25">
      <c r="B25" s="34" t="s">
        <v>19</v>
      </c>
      <c r="C25" s="35" t="e">
        <f>SUM(C21:C24)</f>
        <v>#VALUE!</v>
      </c>
      <c r="D25" s="17"/>
      <c r="E25" s="36" t="e">
        <f>SUM(E21:E24)</f>
        <v>#VALUE!</v>
      </c>
      <c r="F25" s="36" t="e">
        <f>SUM(F21:F24)</f>
        <v>#VALUE!</v>
      </c>
      <c r="G25" s="17"/>
      <c r="H25" s="36" t="e">
        <f>SUM(H21:H24)</f>
        <v>#VALUE!</v>
      </c>
      <c r="I25" s="36" t="e">
        <f>SUM(I21:I24)</f>
        <v>#VALUE!</v>
      </c>
      <c r="J25" s="17"/>
      <c r="K25" s="36" t="e">
        <f>SUM(K21:K24)</f>
        <v>#VALUE!</v>
      </c>
      <c r="L25" s="36" t="e">
        <f>SUM(L21:L24)</f>
        <v>#VALUE!</v>
      </c>
      <c r="M25" s="17"/>
      <c r="N25" s="36" t="e">
        <f>SUM(N21:N24)</f>
        <v>#VALUE!</v>
      </c>
      <c r="O25" s="36" t="e">
        <f>SUM(O21:O24)</f>
        <v>#VALUE!</v>
      </c>
      <c r="P25" s="17"/>
      <c r="Q25" s="36" t="e">
        <f>SUM(Q21:Q24)</f>
        <v>#VALUE!</v>
      </c>
      <c r="R25" s="36" t="e">
        <f>SUM(R21:R24)</f>
        <v>#VALUE!</v>
      </c>
      <c r="S25" s="17"/>
    </row>
    <row r="26" spans="2:20" ht="4.9000000000000004" customHeight="1" x14ac:dyDescent="0.25">
      <c r="B26" s="31"/>
      <c r="C26" s="40"/>
      <c r="D26" s="17"/>
      <c r="E26" s="33"/>
      <c r="F26" s="33"/>
      <c r="G26" s="17"/>
      <c r="H26" s="33"/>
      <c r="I26" s="33"/>
      <c r="J26" s="17"/>
      <c r="K26" s="33"/>
      <c r="L26" s="33"/>
      <c r="M26" s="17"/>
      <c r="N26" s="33"/>
      <c r="O26" s="33"/>
      <c r="P26" s="17"/>
      <c r="Q26" s="33"/>
      <c r="R26" s="33"/>
      <c r="S26" s="17"/>
    </row>
    <row r="27" spans="2:20" ht="15.75" x14ac:dyDescent="0.25">
      <c r="B27" s="41" t="s">
        <v>20</v>
      </c>
      <c r="C27" s="35">
        <f>C21/C18</f>
        <v>828.57142857142856</v>
      </c>
      <c r="D27" s="17"/>
      <c r="E27" s="36">
        <f>IFERROR(E21/E18,0)</f>
        <v>1</v>
      </c>
      <c r="F27" s="36">
        <f>IFERROR(F21/F18,0)</f>
        <v>0.4</v>
      </c>
      <c r="G27" s="17"/>
      <c r="H27" s="36">
        <f>IFERROR(H21/H18,0)</f>
        <v>3</v>
      </c>
      <c r="I27" s="36">
        <f>IFERROR(I21/I18,0)</f>
        <v>4</v>
      </c>
      <c r="J27" s="17"/>
      <c r="K27" s="36">
        <f t="shared" ref="K27:L27" si="0">IFERROR(K21/K18,0)</f>
        <v>5</v>
      </c>
      <c r="L27" s="36">
        <f t="shared" si="0"/>
        <v>6</v>
      </c>
      <c r="M27" s="17"/>
      <c r="N27" s="36">
        <f t="shared" ref="N27:O27" si="1">IFERROR(N21/N18,0)</f>
        <v>7</v>
      </c>
      <c r="O27" s="36">
        <f t="shared" si="1"/>
        <v>8</v>
      </c>
      <c r="P27" s="17"/>
      <c r="Q27" s="36">
        <f t="shared" ref="Q27:R27" si="2">IFERROR(Q21/Q18,0)</f>
        <v>9</v>
      </c>
      <c r="R27" s="36">
        <f t="shared" si="2"/>
        <v>10</v>
      </c>
      <c r="S27" s="17"/>
    </row>
    <row r="28" spans="2:20" ht="30" x14ac:dyDescent="0.25">
      <c r="B28" s="41" t="s">
        <v>21</v>
      </c>
      <c r="C28" s="35" t="e">
        <f>C25/C18</f>
        <v>#VALUE!</v>
      </c>
      <c r="D28" s="17"/>
      <c r="E28" s="36">
        <f>IFERROR(E25/E18,0)</f>
        <v>0</v>
      </c>
      <c r="F28" s="36">
        <f>IFERROR(F25/F18,0)</f>
        <v>0</v>
      </c>
      <c r="G28" s="17"/>
      <c r="H28" s="36">
        <f>IFERROR(H25/H18,0)</f>
        <v>0</v>
      </c>
      <c r="I28" s="36">
        <f>IFERROR(I25/I18,0)</f>
        <v>0</v>
      </c>
      <c r="J28" s="17"/>
      <c r="K28" s="36">
        <f t="shared" ref="K28:L28" si="3">IFERROR(K25/K18,0)</f>
        <v>0</v>
      </c>
      <c r="L28" s="36">
        <f t="shared" si="3"/>
        <v>0</v>
      </c>
      <c r="M28" s="17"/>
      <c r="N28" s="36">
        <f t="shared" ref="N28:O28" si="4">IFERROR(N25/N18,0)</f>
        <v>0</v>
      </c>
      <c r="O28" s="36">
        <f t="shared" si="4"/>
        <v>0</v>
      </c>
      <c r="P28" s="17"/>
      <c r="Q28" s="36">
        <f t="shared" ref="Q28:R28" si="5">IFERROR(Q25/Q18,0)</f>
        <v>0</v>
      </c>
      <c r="R28" s="36">
        <f t="shared" si="5"/>
        <v>0</v>
      </c>
      <c r="S28" s="17"/>
    </row>
    <row r="29" spans="2:20" ht="4.9000000000000004" customHeight="1" x14ac:dyDescent="0.25">
      <c r="B29" s="31"/>
      <c r="C29" s="42"/>
      <c r="D29" s="17"/>
      <c r="E29" s="33"/>
      <c r="F29" s="33"/>
      <c r="G29" s="17"/>
      <c r="H29" s="33"/>
      <c r="I29" s="33"/>
      <c r="J29" s="17"/>
      <c r="K29" s="33"/>
      <c r="L29" s="33"/>
      <c r="M29" s="17"/>
      <c r="N29" s="33"/>
      <c r="O29" s="33"/>
      <c r="P29" s="17"/>
      <c r="Q29" s="33"/>
      <c r="R29" s="33"/>
      <c r="S29" s="17"/>
    </row>
    <row r="30" spans="2:20" ht="19.899999999999999" customHeight="1" x14ac:dyDescent="0.25">
      <c r="B30" s="114" t="s">
        <v>22</v>
      </c>
      <c r="C30" s="114"/>
      <c r="D30" s="17"/>
      <c r="E30" s="43">
        <f>E27/$C$27-1</f>
        <v>-0.99879310344827588</v>
      </c>
      <c r="F30" s="43">
        <f>F27/$C$27-1</f>
        <v>-0.99951724137931031</v>
      </c>
      <c r="G30" s="17"/>
      <c r="H30" s="43">
        <f>H27/$C$27-1</f>
        <v>-0.99637931034482763</v>
      </c>
      <c r="I30" s="43">
        <f>I27/$C$27-1</f>
        <v>-0.99517241379310339</v>
      </c>
      <c r="J30" s="17"/>
      <c r="K30" s="43">
        <f>K27/$C$27-1</f>
        <v>-0.99396551724137927</v>
      </c>
      <c r="L30" s="43">
        <f>L27/$C$27-1</f>
        <v>-0.99275862068965515</v>
      </c>
      <c r="M30" s="17"/>
      <c r="N30" s="43">
        <f>N27/$C$27-1</f>
        <v>-0.99155172413793102</v>
      </c>
      <c r="O30" s="43">
        <f>O27/$C$27-1</f>
        <v>-0.9903448275862069</v>
      </c>
      <c r="P30" s="17"/>
      <c r="Q30" s="43">
        <f>Q27/$C$27-1</f>
        <v>-0.98913793103448278</v>
      </c>
      <c r="R30" s="43">
        <f>R27/$C$27-1</f>
        <v>-0.98793103448275865</v>
      </c>
      <c r="S30" s="17"/>
    </row>
    <row r="31" spans="2:20" ht="19.899999999999999" customHeight="1" x14ac:dyDescent="0.25">
      <c r="B31" s="114" t="s">
        <v>23</v>
      </c>
      <c r="C31" s="114"/>
      <c r="D31" s="17"/>
      <c r="E31" s="43" t="e">
        <f>E28/$C$28-1</f>
        <v>#VALUE!</v>
      </c>
      <c r="F31" s="43" t="e">
        <f>F28/$C$28-1</f>
        <v>#VALUE!</v>
      </c>
      <c r="G31" s="17"/>
      <c r="H31" s="43" t="e">
        <f>H28/$C$28-1</f>
        <v>#VALUE!</v>
      </c>
      <c r="I31" s="43" t="e">
        <f>I28/$C$28-1</f>
        <v>#VALUE!</v>
      </c>
      <c r="J31" s="17"/>
      <c r="K31" s="43" t="e">
        <f>K28/$C$28-1</f>
        <v>#VALUE!</v>
      </c>
      <c r="L31" s="43" t="e">
        <f>L28/$C$28-1</f>
        <v>#VALUE!</v>
      </c>
      <c r="M31" s="17"/>
      <c r="N31" s="43" t="e">
        <f>N28/$C$28-1</f>
        <v>#VALUE!</v>
      </c>
      <c r="O31" s="43" t="e">
        <f>O28/$C$28-1</f>
        <v>#VALUE!</v>
      </c>
      <c r="P31" s="17"/>
      <c r="Q31" s="43" t="e">
        <f>Q28/$C$28-1</f>
        <v>#VALUE!</v>
      </c>
      <c r="R31" s="43" t="e">
        <f>R28/$C$28-1</f>
        <v>#VALUE!</v>
      </c>
      <c r="S31" s="17"/>
    </row>
    <row r="32" spans="2:20" ht="4.9000000000000004" customHeight="1" x14ac:dyDescent="0.25">
      <c r="B32" s="42"/>
      <c r="C32" s="31"/>
      <c r="D32" s="17"/>
      <c r="E32" s="33"/>
      <c r="F32" s="33"/>
      <c r="G32" s="17"/>
      <c r="H32" s="33"/>
      <c r="I32" s="33"/>
      <c r="J32" s="17"/>
      <c r="K32" s="33"/>
      <c r="L32" s="33"/>
      <c r="M32" s="17"/>
      <c r="N32" s="33"/>
      <c r="O32" s="33"/>
      <c r="P32" s="17"/>
      <c r="Q32" s="33"/>
      <c r="R32" s="33"/>
      <c r="S32" s="17"/>
    </row>
    <row r="33" spans="2:19" s="3" customFormat="1" ht="45" x14ac:dyDescent="0.25">
      <c r="B33" s="51" t="s">
        <v>24</v>
      </c>
      <c r="C33" s="5"/>
      <c r="D33" s="17"/>
      <c r="E33" s="7"/>
      <c r="F33" s="7"/>
      <c r="G33" s="17"/>
      <c r="H33" s="7"/>
      <c r="I33" s="7"/>
      <c r="J33" s="17"/>
      <c r="K33" s="7"/>
      <c r="L33" s="7"/>
      <c r="M33" s="17"/>
      <c r="N33" s="7"/>
      <c r="O33" s="7"/>
      <c r="P33" s="17"/>
      <c r="Q33" s="7"/>
      <c r="R33" s="7"/>
      <c r="S33" s="17"/>
    </row>
    <row r="34" spans="2:19" ht="3" customHeight="1" x14ac:dyDescent="0.25">
      <c r="B34" s="57"/>
      <c r="C34" s="58">
        <v>2</v>
      </c>
      <c r="D34" s="59">
        <v>1</v>
      </c>
      <c r="E34" s="60">
        <v>1</v>
      </c>
      <c r="F34" s="60">
        <v>1</v>
      </c>
      <c r="G34" s="59">
        <v>1</v>
      </c>
      <c r="H34" s="60">
        <v>1</v>
      </c>
      <c r="I34" s="60">
        <v>1</v>
      </c>
      <c r="J34" s="59">
        <v>1</v>
      </c>
      <c r="K34" s="60">
        <v>1</v>
      </c>
      <c r="L34" s="60">
        <v>1</v>
      </c>
      <c r="M34" s="59">
        <v>1</v>
      </c>
      <c r="N34" s="60">
        <v>1</v>
      </c>
      <c r="O34" s="60">
        <v>1</v>
      </c>
      <c r="P34" s="59">
        <v>1</v>
      </c>
      <c r="Q34" s="60">
        <v>1</v>
      </c>
      <c r="R34" s="60">
        <v>1</v>
      </c>
      <c r="S34" s="17"/>
    </row>
    <row r="35" spans="2:19" ht="17.25" customHeight="1" x14ac:dyDescent="0.25">
      <c r="B35" s="112" t="s">
        <v>25</v>
      </c>
      <c r="C35" s="113"/>
      <c r="D35" s="17"/>
      <c r="E35" s="80">
        <v>1</v>
      </c>
      <c r="F35" s="80">
        <v>1</v>
      </c>
      <c r="G35" s="59"/>
      <c r="H35" s="80">
        <f>E35+1</f>
        <v>2</v>
      </c>
      <c r="I35" s="80">
        <f>F35+1</f>
        <v>2</v>
      </c>
      <c r="J35" s="59"/>
      <c r="K35" s="80">
        <f t="shared" ref="K35" si="6">H35+1</f>
        <v>3</v>
      </c>
      <c r="L35" s="80">
        <f t="shared" ref="L35" si="7">I35+1</f>
        <v>3</v>
      </c>
      <c r="M35" s="59"/>
      <c r="N35" s="80">
        <f t="shared" ref="N35" si="8">K35+1</f>
        <v>4</v>
      </c>
      <c r="O35" s="80">
        <f t="shared" ref="O35" si="9">L35+1</f>
        <v>4</v>
      </c>
      <c r="P35" s="59"/>
      <c r="Q35" s="80">
        <f t="shared" ref="Q35" si="10">N35+1</f>
        <v>5</v>
      </c>
      <c r="R35" s="80">
        <f t="shared" ref="R35" si="11">O35+1</f>
        <v>5</v>
      </c>
      <c r="S35" s="59"/>
    </row>
    <row r="36" spans="2:19" x14ac:dyDescent="0.25">
      <c r="B36" s="51" t="s">
        <v>26</v>
      </c>
      <c r="C36" s="72" t="str">
        <f>IF(AND($B$36&lt;&gt;$B$37,$B$36&lt;&gt;$B$38,$B$36&lt;&gt;$B$39),0%,VLOOKUP($B36,$B$37:$C$39,2,0))</f>
        <v/>
      </c>
      <c r="D36" s="45"/>
      <c r="E36" s="108" t="str">
        <f>IF(AND($B$36&lt;&gt;$B$37,$B$36&lt;&gt;$B$38,$B$36&lt;&gt;$B$39),0%,VLOOKUP($B36,$B$37:$R$39,SUM($C$34:E34),0))</f>
        <v/>
      </c>
      <c r="F36" s="109"/>
      <c r="G36" s="45"/>
      <c r="H36" s="108" t="str">
        <f>IF(AND($B$36&lt;&gt;$B$37,$B$36&lt;&gt;$B$38,$B$36&lt;&gt;$B$39),0%,VLOOKUP($B36,$B$37:$R$39,SUM($C$34:H34),0))</f>
        <v/>
      </c>
      <c r="I36" s="109"/>
      <c r="J36" s="45"/>
      <c r="K36" s="108" t="str">
        <f>IF(AND($B$36&lt;&gt;$B$37,$B$36&lt;&gt;$B$38,$B$36&lt;&gt;$B$39),0%,VLOOKUP($B36,$B$37:$R$39,SUM($C$34:K34),0))</f>
        <v/>
      </c>
      <c r="L36" s="109"/>
      <c r="M36" s="45"/>
      <c r="N36" s="108" t="str">
        <f>IF(AND($B$36&lt;&gt;$B$37,$B$36&lt;&gt;$B$38,$B$36&lt;&gt;$B$39),0%,VLOOKUP($B36,$B$37:$R$39,SUM($C$34:N34),0))</f>
        <v/>
      </c>
      <c r="O36" s="109"/>
      <c r="P36" s="45"/>
      <c r="Q36" s="108" t="str">
        <f>IF(AND($B$36&lt;&gt;$B$37,$B$36&lt;&gt;$B$38,$B$36&lt;&gt;$B$39),0%,VLOOKUP($B36,$B$37:$R$39,SUM($C$34:Q34),0))</f>
        <v/>
      </c>
      <c r="R36" s="109"/>
      <c r="S36" s="17"/>
    </row>
    <row r="37" spans="2:19" x14ac:dyDescent="0.25">
      <c r="B37" s="41" t="s">
        <v>26</v>
      </c>
      <c r="C37" s="44" t="str">
        <f>IFERROR(VLOOKUP(C$14,#REF!,#REF!,0),"")</f>
        <v/>
      </c>
      <c r="D37" s="45"/>
      <c r="E37" s="110" t="str">
        <f>IFERROR(VLOOKUP(C$14,#REF!,#REF!,0),"")</f>
        <v/>
      </c>
      <c r="F37" s="111"/>
      <c r="G37" s="76"/>
      <c r="H37" s="110" t="str">
        <f>IFERROR(VLOOKUP(H$14,#REF!,#REF!,0),"")</f>
        <v/>
      </c>
      <c r="I37" s="111"/>
      <c r="J37" s="45"/>
      <c r="K37" s="110" t="str">
        <f>IFERROR(VLOOKUP(K$14,#REF!,#REF!,0),"")</f>
        <v/>
      </c>
      <c r="L37" s="111"/>
      <c r="M37" s="45"/>
      <c r="N37" s="110" t="str">
        <f>IFERROR(VLOOKUP(N$14,#REF!,#REF!,0),"")</f>
        <v/>
      </c>
      <c r="O37" s="111"/>
      <c r="P37" s="45"/>
      <c r="Q37" s="110" t="str">
        <f>IFERROR(VLOOKUP(Q$14,#REF!,#REF!,0),"")</f>
        <v/>
      </c>
      <c r="R37" s="111"/>
      <c r="S37" s="17"/>
    </row>
    <row r="38" spans="2:19" ht="14.45" customHeight="1" x14ac:dyDescent="0.25">
      <c r="B38" s="41" t="s">
        <v>27</v>
      </c>
      <c r="C38" s="44" t="str">
        <f>IFERROR(VLOOKUP(C$14,#REF!,#REF!,0),"")</f>
        <v/>
      </c>
      <c r="D38" s="45"/>
      <c r="E38" s="110" t="str">
        <f>IFERROR(VLOOKUP(C$14,#REF!,#REF!,0),"")</f>
        <v/>
      </c>
      <c r="F38" s="111"/>
      <c r="G38" s="76"/>
      <c r="H38" s="110" t="str">
        <f>IFERROR(VLOOKUP(H$14,#REF!,#REF!,0),"")</f>
        <v/>
      </c>
      <c r="I38" s="111"/>
      <c r="J38" s="45"/>
      <c r="K38" s="110" t="str">
        <f>IFERROR(VLOOKUP(K$14,#REF!,#REF!,0),"")</f>
        <v/>
      </c>
      <c r="L38" s="111" t="str">
        <f>IFERROR(VLOOKUP(L$14,#REF!,#REF!,0),"")</f>
        <v/>
      </c>
      <c r="M38" s="45"/>
      <c r="N38" s="110" t="str">
        <f>IFERROR(VLOOKUP(N$14,#REF!,#REF!,0),"")</f>
        <v/>
      </c>
      <c r="O38" s="111" t="str">
        <f>IFERROR(VLOOKUP(O$14,#REF!,#REF!,0),"")</f>
        <v/>
      </c>
      <c r="P38" s="45"/>
      <c r="Q38" s="110" t="str">
        <f>IFERROR(VLOOKUP(Q$14,#REF!,#REF!,0),"")</f>
        <v/>
      </c>
      <c r="R38" s="111" t="str">
        <f>IFERROR(VLOOKUP(R$14,#REF!,#REF!,0),"")</f>
        <v/>
      </c>
      <c r="S38" s="17"/>
    </row>
    <row r="39" spans="2:19" ht="15" customHeight="1" x14ac:dyDescent="0.25">
      <c r="B39" s="41" t="s">
        <v>28</v>
      </c>
      <c r="C39" s="44" t="str">
        <f>IFERROR(VLOOKUP(C$14,#REF!,#REF!,0),"")</f>
        <v/>
      </c>
      <c r="D39" s="45"/>
      <c r="E39" s="110" t="str">
        <f>IFERROR(VLOOKUP(C$14,#REF!,#REF!,0),"")</f>
        <v/>
      </c>
      <c r="F39" s="111"/>
      <c r="G39" s="76"/>
      <c r="H39" s="110" t="str">
        <f>IFERROR(VLOOKUP(H$14,#REF!,#REF!,0),"")</f>
        <v/>
      </c>
      <c r="I39" s="111" t="str">
        <f>IFERROR(VLOOKUP(I$14,#REF!,#REF!,0),"")</f>
        <v/>
      </c>
      <c r="J39" s="45"/>
      <c r="K39" s="110" t="str">
        <f>IFERROR(VLOOKUP(K$14,#REF!,#REF!,0),"")</f>
        <v/>
      </c>
      <c r="L39" s="111" t="str">
        <f>IFERROR(VLOOKUP(L$14,#REF!,#REF!,0),"")</f>
        <v/>
      </c>
      <c r="M39" s="45"/>
      <c r="N39" s="110" t="str">
        <f>IFERROR(VLOOKUP(N$14,#REF!,#REF!,0),"")</f>
        <v/>
      </c>
      <c r="O39" s="111" t="str">
        <f>IFERROR(VLOOKUP(O$14,#REF!,#REF!,0),"")</f>
        <v/>
      </c>
      <c r="P39" s="45"/>
      <c r="Q39" s="110" t="str">
        <f>IFERROR(VLOOKUP(Q$14,#REF!,#REF!,0),"")</f>
        <v/>
      </c>
      <c r="R39" s="111" t="str">
        <f>IFERROR(VLOOKUP(R$14,#REF!,#REF!,0),"")</f>
        <v/>
      </c>
      <c r="S39" s="17"/>
    </row>
    <row r="40" spans="2:19" ht="6" customHeight="1" x14ac:dyDescent="0.25">
      <c r="B40" s="31"/>
      <c r="C40" s="42"/>
      <c r="D40" s="17"/>
      <c r="E40" s="33"/>
      <c r="F40" s="33"/>
      <c r="G40" s="17"/>
      <c r="H40" s="33"/>
      <c r="I40" s="33"/>
      <c r="J40" s="17"/>
      <c r="K40" s="33"/>
      <c r="L40" s="33"/>
      <c r="M40" s="17"/>
      <c r="N40" s="33"/>
      <c r="O40" s="33"/>
      <c r="P40" s="17"/>
      <c r="Q40" s="33"/>
      <c r="R40" s="33"/>
      <c r="S40" s="6"/>
    </row>
    <row r="41" spans="2:19" x14ac:dyDescent="0.25">
      <c r="B41" s="46" t="s">
        <v>29</v>
      </c>
      <c r="D41" s="17"/>
      <c r="G41" s="17"/>
      <c r="J41" s="17"/>
      <c r="M41" s="17"/>
      <c r="P41" s="17"/>
    </row>
    <row r="42" spans="2:19" x14ac:dyDescent="0.25">
      <c r="B42" s="10" t="s">
        <v>30</v>
      </c>
      <c r="D42" s="17"/>
      <c r="G42" s="17"/>
      <c r="J42" s="17"/>
      <c r="M42" s="17"/>
      <c r="P42" s="17"/>
    </row>
    <row r="43" spans="2:19" x14ac:dyDescent="0.25">
      <c r="D43" s="17"/>
      <c r="G43" s="17"/>
      <c r="J43" s="17"/>
      <c r="M43" s="17"/>
      <c r="P43" s="17"/>
    </row>
    <row r="45" spans="2:19" x14ac:dyDescent="0.25">
      <c r="B45" s="51" t="s">
        <v>53</v>
      </c>
      <c r="C45" s="64" t="str">
        <f>C46&amp;"% y "&amp;C47&amp;"%"</f>
        <v>15% y 13%</v>
      </c>
      <c r="D45" s="45"/>
      <c r="E45" s="52" t="str">
        <f t="shared" ref="E45:F45" si="12">E46&amp;"% y "&amp;E47&amp;"%"</f>
        <v>% y %</v>
      </c>
      <c r="F45" s="52" t="str">
        <f t="shared" si="12"/>
        <v>% y %</v>
      </c>
      <c r="G45" s="45"/>
      <c r="H45" s="52" t="str">
        <f t="shared" ref="H45:I45" si="13">H46&amp;"% y "&amp;H47&amp;"%"</f>
        <v>% y %</v>
      </c>
      <c r="I45" s="52" t="str">
        <f t="shared" si="13"/>
        <v>% y %</v>
      </c>
      <c r="J45" s="45"/>
      <c r="K45" s="52" t="str">
        <f t="shared" ref="K45:L45" si="14">K46&amp;"% y "&amp;K47&amp;"%"</f>
        <v>% y %</v>
      </c>
      <c r="L45" s="52" t="str">
        <f t="shared" si="14"/>
        <v>% y %</v>
      </c>
      <c r="M45" s="45"/>
      <c r="N45" s="52" t="str">
        <f t="shared" ref="N45:O45" si="15">N46&amp;"% y "&amp;N47&amp;"%"</f>
        <v>% y %</v>
      </c>
      <c r="O45" s="52" t="str">
        <f t="shared" si="15"/>
        <v>% y %</v>
      </c>
      <c r="P45" s="45"/>
      <c r="Q45" s="52" t="str">
        <f t="shared" ref="Q45:R45" si="16">Q46&amp;"% y "&amp;Q47&amp;"%"</f>
        <v>% y %</v>
      </c>
      <c r="R45" s="52" t="str">
        <f t="shared" si="16"/>
        <v>% y %</v>
      </c>
      <c r="S45" s="45"/>
    </row>
    <row r="46" spans="2:19" x14ac:dyDescent="0.25">
      <c r="B46" s="41" t="s">
        <v>74</v>
      </c>
      <c r="C46" s="75">
        <v>15</v>
      </c>
      <c r="D46" s="45"/>
      <c r="E46" s="74"/>
      <c r="F46" s="74"/>
      <c r="G46" s="45"/>
      <c r="H46" s="74"/>
      <c r="I46" s="74"/>
      <c r="J46" s="45"/>
      <c r="K46" s="74"/>
      <c r="L46" s="74"/>
      <c r="M46" s="45"/>
      <c r="N46" s="74"/>
      <c r="O46" s="74"/>
      <c r="P46" s="45"/>
      <c r="Q46" s="74"/>
      <c r="R46" s="74"/>
      <c r="S46" s="45"/>
    </row>
    <row r="47" spans="2:19" ht="30" x14ac:dyDescent="0.25">
      <c r="B47" s="41" t="s">
        <v>75</v>
      </c>
      <c r="C47" s="75">
        <v>13</v>
      </c>
      <c r="D47" s="45"/>
      <c r="E47" s="74"/>
      <c r="F47" s="74"/>
      <c r="G47" s="45"/>
      <c r="H47" s="74"/>
      <c r="I47" s="74"/>
      <c r="J47" s="45"/>
      <c r="K47" s="74"/>
      <c r="L47" s="74"/>
      <c r="M47" s="45"/>
      <c r="N47" s="74"/>
      <c r="O47" s="74"/>
      <c r="P47" s="45"/>
      <c r="Q47" s="74"/>
      <c r="R47" s="74"/>
      <c r="S47" s="45"/>
    </row>
    <row r="48" spans="2:19" x14ac:dyDescent="0.25">
      <c r="B48" s="41" t="s">
        <v>78</v>
      </c>
      <c r="C48" s="75">
        <v>15</v>
      </c>
      <c r="D48" s="45"/>
      <c r="E48" s="74"/>
      <c r="F48" s="74"/>
      <c r="G48" s="45"/>
      <c r="H48" s="74"/>
      <c r="I48" s="74"/>
      <c r="J48" s="45"/>
      <c r="K48" s="74"/>
      <c r="L48" s="74"/>
      <c r="M48" s="45"/>
      <c r="N48" s="74"/>
      <c r="O48" s="74"/>
      <c r="P48" s="45"/>
      <c r="Q48" s="74"/>
      <c r="R48" s="74"/>
      <c r="S48" s="45"/>
    </row>
    <row r="49" spans="2:19" x14ac:dyDescent="0.25">
      <c r="B49" s="51" t="s">
        <v>54</v>
      </c>
      <c r="C49" s="53" t="e">
        <f>SUM(C50:C52)</f>
        <v>#REF!</v>
      </c>
      <c r="D49" s="54"/>
      <c r="E49" s="55" t="e">
        <f t="shared" ref="E49:F49" si="17">SUM(E50:E52)</f>
        <v>#REF!</v>
      </c>
      <c r="F49" s="55" t="e">
        <f t="shared" si="17"/>
        <v>#REF!</v>
      </c>
      <c r="G49" s="54"/>
      <c r="H49" s="55" t="e">
        <f t="shared" ref="H49:I49" si="18">SUM(H50:H52)</f>
        <v>#REF!</v>
      </c>
      <c r="I49" s="55" t="e">
        <f t="shared" si="18"/>
        <v>#REF!</v>
      </c>
      <c r="J49" s="54"/>
      <c r="K49" s="55" t="e">
        <f t="shared" ref="K49:L49" si="19">SUM(K50:K52)</f>
        <v>#REF!</v>
      </c>
      <c r="L49" s="55" t="e">
        <f t="shared" si="19"/>
        <v>#REF!</v>
      </c>
      <c r="M49" s="54"/>
      <c r="N49" s="55" t="e">
        <f t="shared" ref="N49:O49" si="20">SUM(N50:N52)</f>
        <v>#REF!</v>
      </c>
      <c r="O49" s="55" t="e">
        <f t="shared" si="20"/>
        <v>#REF!</v>
      </c>
      <c r="P49" s="54"/>
      <c r="Q49" s="55" t="e">
        <f t="shared" ref="Q49:R49" si="21">SUM(Q50:Q52)</f>
        <v>#REF!</v>
      </c>
      <c r="R49" s="55" t="e">
        <f t="shared" si="21"/>
        <v>#REF!</v>
      </c>
      <c r="S49" s="54"/>
    </row>
    <row r="50" spans="2:19" x14ac:dyDescent="0.25">
      <c r="B50" s="41" t="s">
        <v>76</v>
      </c>
      <c r="C50" s="55" t="e">
        <f>SUMIFS(#REF!,#REF!,"Automovil")*C46%</f>
        <v>#REF!</v>
      </c>
      <c r="D50" s="54"/>
      <c r="E50" s="73" t="e">
        <f>SUMIFS(#REF!,#REF!,"Automovil")*C46%</f>
        <v>#REF!</v>
      </c>
      <c r="F50" s="73" t="e">
        <f>SUMIFS(#REF!,#REF!,"Automovil")*D46%</f>
        <v>#REF!</v>
      </c>
      <c r="G50" s="54"/>
      <c r="H50" s="73" t="e">
        <f>SUMIFS(#REF!,#REF!,"Automovil")*F46%</f>
        <v>#REF!</v>
      </c>
      <c r="I50" s="73" t="e">
        <f>SUMIFS(#REF!,#REF!,"Automovil")*G46%</f>
        <v>#REF!</v>
      </c>
      <c r="J50" s="54"/>
      <c r="K50" s="73" t="e">
        <f>SUMIFS(#REF!,#REF!,"Automovil")*I46%</f>
        <v>#REF!</v>
      </c>
      <c r="L50" s="73" t="e">
        <f>SUMIFS(#REF!,#REF!,"Automovil")*J46%</f>
        <v>#REF!</v>
      </c>
      <c r="M50" s="54"/>
      <c r="N50" s="73" t="e">
        <f>SUMIFS(#REF!,#REF!,"Automovil")*K46%</f>
        <v>#REF!</v>
      </c>
      <c r="O50" s="73" t="e">
        <f>SUMIFS(#REF!,#REF!,"Automovil")*L46%</f>
        <v>#REF!</v>
      </c>
      <c r="P50" s="54"/>
      <c r="Q50" s="73" t="e">
        <f>SUMIFS(#REF!,#REF!,"Automovil")*M46%</f>
        <v>#REF!</v>
      </c>
      <c r="R50" s="73" t="e">
        <f>SUMIFS(#REF!,#REF!,"Automovil")*N46%</f>
        <v>#REF!</v>
      </c>
      <c r="S50" s="54"/>
    </row>
    <row r="51" spans="2:19" ht="30" x14ac:dyDescent="0.25">
      <c r="B51" s="41" t="s">
        <v>77</v>
      </c>
      <c r="C51" s="55" t="e">
        <f>SUMIFS(#REF!,#REF!,"Camion")*C47%</f>
        <v>#REF!</v>
      </c>
      <c r="D51" s="54"/>
      <c r="E51" s="73" t="e">
        <f>SUMIFS(#REF!,#REF!,"Camion")*C46%</f>
        <v>#REF!</v>
      </c>
      <c r="F51" s="73" t="e">
        <f>SUMIFS(#REF!,#REF!,"Camion")*D46%</f>
        <v>#REF!</v>
      </c>
      <c r="G51" s="54"/>
      <c r="H51" s="73" t="e">
        <f>SUMIFS(#REF!,#REF!,"Camion")*F46%</f>
        <v>#REF!</v>
      </c>
      <c r="I51" s="73" t="e">
        <f>SUMIFS(#REF!,#REF!,"Camion")*G46%</f>
        <v>#REF!</v>
      </c>
      <c r="J51" s="54"/>
      <c r="K51" s="73" t="e">
        <f>SUMIFS(#REF!,#REF!,"Camion")*I46%</f>
        <v>#REF!</v>
      </c>
      <c r="L51" s="73" t="e">
        <f>SUMIFS(#REF!,#REF!,"Camion")*J46%</f>
        <v>#REF!</v>
      </c>
      <c r="M51" s="54"/>
      <c r="N51" s="73" t="e">
        <f>SUMIFS(#REF!,#REF!,"Camion")*K46%</f>
        <v>#REF!</v>
      </c>
      <c r="O51" s="73" t="e">
        <f>SUMIFS(#REF!,#REF!,"Camion")*L46%</f>
        <v>#REF!</v>
      </c>
      <c r="P51" s="54"/>
      <c r="Q51" s="73" t="e">
        <f>SUMIFS(#REF!,#REF!,"Camion")*M46%</f>
        <v>#REF!</v>
      </c>
      <c r="R51" s="73" t="e">
        <f>SUMIFS(#REF!,#REF!,"Camion")*N46%</f>
        <v>#REF!</v>
      </c>
      <c r="S51" s="54"/>
    </row>
    <row r="52" spans="2:19" x14ac:dyDescent="0.25">
      <c r="B52" s="41" t="s">
        <v>79</v>
      </c>
      <c r="C52" s="55" t="e">
        <f>SUMIFS(#REF!,#REF!,"Motocicleta")*C48%</f>
        <v>#REF!</v>
      </c>
      <c r="D52" s="54"/>
      <c r="E52" s="73" t="e">
        <f>SUMIFS(#REF!,#REF!,"Motocicleta")*C46%</f>
        <v>#REF!</v>
      </c>
      <c r="F52" s="73" t="e">
        <f>SUMIFS(#REF!,#REF!,"Motocicleta")*D46%</f>
        <v>#REF!</v>
      </c>
      <c r="G52" s="54"/>
      <c r="H52" s="73" t="e">
        <f>SUMIFS(#REF!,#REF!,"Motocicleta")*F46%</f>
        <v>#REF!</v>
      </c>
      <c r="I52" s="73" t="e">
        <f>SUMIFS(#REF!,#REF!,"Motocicleta")*G46%</f>
        <v>#REF!</v>
      </c>
      <c r="J52" s="54"/>
      <c r="K52" s="73" t="e">
        <f>SUMIFS(#REF!,#REF!,"Motocicleta")*I46%</f>
        <v>#REF!</v>
      </c>
      <c r="L52" s="73" t="e">
        <f>SUMIFS(#REF!,#REF!,"Motocicleta")*J46%</f>
        <v>#REF!</v>
      </c>
      <c r="M52" s="54"/>
      <c r="N52" s="73" t="e">
        <f>SUMIFS(#REF!,#REF!,"Motocicleta")*K46%</f>
        <v>#REF!</v>
      </c>
      <c r="O52" s="73" t="e">
        <f>SUMIFS(#REF!,#REF!,"Motocicleta")*L46%</f>
        <v>#REF!</v>
      </c>
      <c r="P52" s="54"/>
      <c r="Q52" s="73" t="e">
        <f>SUMIFS(#REF!,#REF!,"Motocicleta")*M46%</f>
        <v>#REF!</v>
      </c>
      <c r="R52" s="73" t="e">
        <f>SUMIFS(#REF!,#REF!,"Motocicleta")*N46%</f>
        <v>#REF!</v>
      </c>
      <c r="S52" s="54"/>
    </row>
    <row r="53" spans="2:19" s="14" customFormat="1" ht="30" x14ac:dyDescent="0.25">
      <c r="B53" s="87" t="s">
        <v>55</v>
      </c>
      <c r="C53" s="5"/>
      <c r="D53" s="88"/>
      <c r="E53" s="75"/>
      <c r="F53" s="75"/>
      <c r="G53" s="88"/>
      <c r="H53" s="75"/>
      <c r="I53" s="75"/>
      <c r="J53" s="88"/>
      <c r="K53" s="75"/>
      <c r="L53" s="75"/>
      <c r="M53" s="88"/>
      <c r="N53" s="75"/>
      <c r="O53" s="75"/>
      <c r="P53" s="88"/>
      <c r="Q53" s="75"/>
      <c r="R53" s="75"/>
    </row>
    <row r="54" spans="2:19" x14ac:dyDescent="0.25">
      <c r="B54" s="51" t="s">
        <v>56</v>
      </c>
      <c r="C54" s="5"/>
      <c r="D54" s="17"/>
      <c r="E54" s="7"/>
      <c r="F54" s="7"/>
      <c r="G54" s="17"/>
      <c r="H54" s="7"/>
      <c r="I54" s="7"/>
      <c r="J54" s="17"/>
      <c r="K54" s="7"/>
      <c r="L54" s="7"/>
      <c r="M54" s="17"/>
      <c r="N54" s="7"/>
      <c r="O54" s="7"/>
      <c r="P54" s="17"/>
      <c r="Q54" s="7"/>
      <c r="R54" s="7"/>
    </row>
    <row r="55" spans="2:19" s="70" customFormat="1" ht="15.75" x14ac:dyDescent="0.25">
      <c r="B55" s="89" t="s">
        <v>57</v>
      </c>
      <c r="C55" s="53" t="e">
        <f>C49+C53+C54</f>
        <v>#REF!</v>
      </c>
      <c r="D55" s="54"/>
      <c r="E55" s="53" t="e">
        <f>E49+E53+E54</f>
        <v>#REF!</v>
      </c>
      <c r="F55" s="53" t="e">
        <f>F49+F53+F54</f>
        <v>#REF!</v>
      </c>
      <c r="G55" s="54"/>
      <c r="H55" s="53" t="e">
        <f>H49+H53+H54</f>
        <v>#REF!</v>
      </c>
      <c r="I55" s="53" t="e">
        <f>I49+I53+I54</f>
        <v>#REF!</v>
      </c>
      <c r="J55" s="54"/>
      <c r="K55" s="53" t="e">
        <f>K49+K53+K54</f>
        <v>#REF!</v>
      </c>
      <c r="L55" s="53" t="e">
        <f>L49+L53+L54</f>
        <v>#REF!</v>
      </c>
      <c r="M55" s="54"/>
      <c r="N55" s="53" t="e">
        <f>N49+N53+N54</f>
        <v>#REF!</v>
      </c>
      <c r="O55" s="53" t="e">
        <f>O49+O53+O54</f>
        <v>#REF!</v>
      </c>
      <c r="P55" s="54"/>
      <c r="Q55" s="53" t="e">
        <f>Q49+Q53+Q54</f>
        <v>#REF!</v>
      </c>
      <c r="R55" s="53" t="e">
        <f>R49+R53+R54</f>
        <v>#REF!</v>
      </c>
    </row>
  </sheetData>
  <mergeCells count="29">
    <mergeCell ref="Q14:R14"/>
    <mergeCell ref="C4:H4"/>
    <mergeCell ref="C14:F14"/>
    <mergeCell ref="H14:I14"/>
    <mergeCell ref="K14:L14"/>
    <mergeCell ref="N14:O14"/>
    <mergeCell ref="B30:C30"/>
    <mergeCell ref="B31:C31"/>
    <mergeCell ref="B35:C35"/>
    <mergeCell ref="E36:F36"/>
    <mergeCell ref="H36:I36"/>
    <mergeCell ref="N36:O36"/>
    <mergeCell ref="Q36:R36"/>
    <mergeCell ref="E37:F37"/>
    <mergeCell ref="H37:I37"/>
    <mergeCell ref="K37:L37"/>
    <mergeCell ref="N37:O37"/>
    <mergeCell ref="Q37:R37"/>
    <mergeCell ref="K36:L36"/>
    <mergeCell ref="E39:F39"/>
    <mergeCell ref="H39:I39"/>
    <mergeCell ref="K39:L39"/>
    <mergeCell ref="N39:O39"/>
    <mergeCell ref="Q39:R39"/>
    <mergeCell ref="E38:F38"/>
    <mergeCell ref="H38:I38"/>
    <mergeCell ref="K38:L38"/>
    <mergeCell ref="N38:O38"/>
    <mergeCell ref="Q38:R38"/>
  </mergeCells>
  <conditionalFormatting sqref="B21">
    <cfRule type="duplicateValues" dxfId="179" priority="276"/>
    <cfRule type="duplicateValues" dxfId="178" priority="275"/>
  </conditionalFormatting>
  <conditionalFormatting sqref="B22">
    <cfRule type="duplicateValues" dxfId="177" priority="273"/>
    <cfRule type="duplicateValues" dxfId="176" priority="274"/>
  </conditionalFormatting>
  <conditionalFormatting sqref="B23">
    <cfRule type="duplicateValues" dxfId="175" priority="51"/>
    <cfRule type="duplicateValues" dxfId="174" priority="52"/>
  </conditionalFormatting>
  <conditionalFormatting sqref="B24">
    <cfRule type="duplicateValues" dxfId="173" priority="271"/>
    <cfRule type="duplicateValues" dxfId="172" priority="272"/>
  </conditionalFormatting>
  <conditionalFormatting sqref="B25">
    <cfRule type="duplicateValues" dxfId="171" priority="269"/>
    <cfRule type="duplicateValues" dxfId="170" priority="270"/>
  </conditionalFormatting>
  <conditionalFormatting sqref="B30">
    <cfRule type="duplicateValues" dxfId="169" priority="255"/>
    <cfRule type="duplicateValues" dxfId="168" priority="256"/>
  </conditionalFormatting>
  <conditionalFormatting sqref="B31">
    <cfRule type="duplicateValues" dxfId="167" priority="247"/>
    <cfRule type="duplicateValues" dxfId="166" priority="248"/>
  </conditionalFormatting>
  <conditionalFormatting sqref="B33">
    <cfRule type="duplicateValues" dxfId="165" priority="251"/>
    <cfRule type="duplicateValues" dxfId="164" priority="252"/>
  </conditionalFormatting>
  <conditionalFormatting sqref="B34">
    <cfRule type="duplicateValues" dxfId="163" priority="179"/>
    <cfRule type="duplicateValues" dxfId="162" priority="180"/>
  </conditionalFormatting>
  <conditionalFormatting sqref="B35">
    <cfRule type="duplicateValues" dxfId="161" priority="158"/>
    <cfRule type="duplicateValues" dxfId="160" priority="157"/>
  </conditionalFormatting>
  <conditionalFormatting sqref="B36">
    <cfRule type="duplicateValues" dxfId="159" priority="131"/>
    <cfRule type="duplicateValues" dxfId="158" priority="132"/>
  </conditionalFormatting>
  <conditionalFormatting sqref="B37:B39">
    <cfRule type="duplicateValues" dxfId="157" priority="117"/>
    <cfRule type="duplicateValues" dxfId="156" priority="118"/>
  </conditionalFormatting>
  <conditionalFormatting sqref="B38:B39">
    <cfRule type="duplicateValues" dxfId="155" priority="155"/>
    <cfRule type="duplicateValues" dxfId="154" priority="156"/>
  </conditionalFormatting>
  <conditionalFormatting sqref="B45">
    <cfRule type="duplicateValues" dxfId="153" priority="151"/>
    <cfRule type="duplicateValues" dxfId="152" priority="152"/>
  </conditionalFormatting>
  <conditionalFormatting sqref="B46:B48">
    <cfRule type="duplicateValues" dxfId="151" priority="81"/>
    <cfRule type="duplicateValues" dxfId="150" priority="82"/>
  </conditionalFormatting>
  <conditionalFormatting sqref="B49">
    <cfRule type="duplicateValues" dxfId="149" priority="147"/>
    <cfRule type="duplicateValues" dxfId="148" priority="148"/>
  </conditionalFormatting>
  <conditionalFormatting sqref="B50:B51">
    <cfRule type="duplicateValues" dxfId="147" priority="75"/>
    <cfRule type="duplicateValues" dxfId="146" priority="76"/>
  </conditionalFormatting>
  <conditionalFormatting sqref="B52">
    <cfRule type="duplicateValues" dxfId="145" priority="73"/>
    <cfRule type="duplicateValues" dxfId="144" priority="74"/>
  </conditionalFormatting>
  <conditionalFormatting sqref="B53">
    <cfRule type="duplicateValues" dxfId="143" priority="145"/>
    <cfRule type="duplicateValues" dxfId="142" priority="146"/>
  </conditionalFormatting>
  <conditionalFormatting sqref="B54">
    <cfRule type="duplicateValues" dxfId="141" priority="141"/>
    <cfRule type="duplicateValues" dxfId="140" priority="142"/>
  </conditionalFormatting>
  <conditionalFormatting sqref="B55">
    <cfRule type="duplicateValues" dxfId="139" priority="138"/>
    <cfRule type="duplicateValues" dxfId="138" priority="137"/>
  </conditionalFormatting>
  <conditionalFormatting sqref="B27:C27">
    <cfRule type="duplicateValues" dxfId="137" priority="260"/>
    <cfRule type="duplicateValues" dxfId="136" priority="259"/>
  </conditionalFormatting>
  <conditionalFormatting sqref="B28:C28">
    <cfRule type="duplicateValues" dxfId="135" priority="258"/>
    <cfRule type="duplicateValues" dxfId="134" priority="257"/>
  </conditionalFormatting>
  <conditionalFormatting sqref="C21">
    <cfRule type="duplicateValues" dxfId="133" priority="268"/>
    <cfRule type="duplicateValues" dxfId="132" priority="267"/>
  </conditionalFormatting>
  <conditionalFormatting sqref="C22">
    <cfRule type="duplicateValues" dxfId="131" priority="265"/>
    <cfRule type="duplicateValues" dxfId="130" priority="266"/>
  </conditionalFormatting>
  <conditionalFormatting sqref="C23">
    <cfRule type="duplicateValues" dxfId="129" priority="49"/>
    <cfRule type="duplicateValues" dxfId="128" priority="50"/>
  </conditionalFormatting>
  <conditionalFormatting sqref="C24">
    <cfRule type="duplicateValues" dxfId="127" priority="264"/>
    <cfRule type="duplicateValues" dxfId="126" priority="263"/>
  </conditionalFormatting>
  <conditionalFormatting sqref="C25">
    <cfRule type="duplicateValues" dxfId="125" priority="262"/>
    <cfRule type="duplicateValues" dxfId="124" priority="261"/>
  </conditionalFormatting>
  <conditionalFormatting sqref="C33">
    <cfRule type="duplicateValues" dxfId="123" priority="250"/>
    <cfRule type="duplicateValues" dxfId="122" priority="249"/>
  </conditionalFormatting>
  <conditionalFormatting sqref="C36">
    <cfRule type="duplicateValues" dxfId="121" priority="129"/>
    <cfRule type="duplicateValues" dxfId="120" priority="130"/>
  </conditionalFormatting>
  <conditionalFormatting sqref="C37">
    <cfRule type="duplicateValues" dxfId="119" priority="153"/>
    <cfRule type="duplicateValues" dxfId="118" priority="154"/>
  </conditionalFormatting>
  <conditionalFormatting sqref="C38">
    <cfRule type="duplicateValues" dxfId="117" priority="115"/>
    <cfRule type="duplicateValues" dxfId="116" priority="116"/>
  </conditionalFormatting>
  <conditionalFormatting sqref="C39">
    <cfRule type="duplicateValues" dxfId="115" priority="114"/>
    <cfRule type="duplicateValues" dxfId="114" priority="113"/>
  </conditionalFormatting>
  <conditionalFormatting sqref="C45">
    <cfRule type="duplicateValues" dxfId="113" priority="150"/>
    <cfRule type="duplicateValues" dxfId="112" priority="149"/>
  </conditionalFormatting>
  <conditionalFormatting sqref="C49">
    <cfRule type="duplicateValues" dxfId="111" priority="134"/>
    <cfRule type="duplicateValues" dxfId="110" priority="133"/>
  </conditionalFormatting>
  <conditionalFormatting sqref="C53">
    <cfRule type="duplicateValues" dxfId="109" priority="144"/>
    <cfRule type="duplicateValues" dxfId="108" priority="143"/>
  </conditionalFormatting>
  <conditionalFormatting sqref="C54">
    <cfRule type="duplicateValues" dxfId="107" priority="140"/>
    <cfRule type="duplicateValues" dxfId="106" priority="139"/>
  </conditionalFormatting>
  <conditionalFormatting sqref="C55">
    <cfRule type="duplicateValues" dxfId="105" priority="136"/>
    <cfRule type="duplicateValues" dxfId="104" priority="135"/>
  </conditionalFormatting>
  <conditionalFormatting sqref="E23">
    <cfRule type="duplicateValues" dxfId="103" priority="47"/>
    <cfRule type="duplicateValues" dxfId="102" priority="48"/>
  </conditionalFormatting>
  <conditionalFormatting sqref="E24">
    <cfRule type="duplicateValues" dxfId="101" priority="239"/>
    <cfRule type="duplicateValues" dxfId="100" priority="240"/>
  </conditionalFormatting>
  <conditionalFormatting sqref="E36">
    <cfRule type="duplicateValues" dxfId="99" priority="125"/>
    <cfRule type="duplicateValues" dxfId="98" priority="126"/>
  </conditionalFormatting>
  <conditionalFormatting sqref="E37:E39 G37:G39">
    <cfRule type="duplicateValues" dxfId="97" priority="111"/>
    <cfRule type="duplicateValues" dxfId="96" priority="112"/>
  </conditionalFormatting>
  <conditionalFormatting sqref="E38">
    <cfRule type="duplicateValues" dxfId="95" priority="109"/>
    <cfRule type="duplicateValues" dxfId="94" priority="110"/>
  </conditionalFormatting>
  <conditionalFormatting sqref="E39">
    <cfRule type="duplicateValues" dxfId="93" priority="108"/>
    <cfRule type="duplicateValues" dxfId="92" priority="107"/>
  </conditionalFormatting>
  <conditionalFormatting sqref="E55">
    <cfRule type="duplicateValues" dxfId="91" priority="72"/>
    <cfRule type="duplicateValues" dxfId="90" priority="71"/>
  </conditionalFormatting>
  <conditionalFormatting sqref="E46:F48">
    <cfRule type="duplicateValues" dxfId="89" priority="79"/>
    <cfRule type="duplicateValues" dxfId="88" priority="80"/>
  </conditionalFormatting>
  <conditionalFormatting sqref="F23">
    <cfRule type="duplicateValues" dxfId="87" priority="46"/>
    <cfRule type="duplicateValues" dxfId="86" priority="45"/>
  </conditionalFormatting>
  <conditionalFormatting sqref="F24">
    <cfRule type="duplicateValues" dxfId="85" priority="237"/>
    <cfRule type="duplicateValues" dxfId="84" priority="238"/>
  </conditionalFormatting>
  <conditionalFormatting sqref="F55">
    <cfRule type="duplicateValues" dxfId="83" priority="69"/>
    <cfRule type="duplicateValues" dxfId="82" priority="70"/>
  </conditionalFormatting>
  <conditionalFormatting sqref="H23">
    <cfRule type="duplicateValues" dxfId="81" priority="44"/>
    <cfRule type="duplicateValues" dxfId="80" priority="43"/>
  </conditionalFormatting>
  <conditionalFormatting sqref="H24">
    <cfRule type="duplicateValues" dxfId="79" priority="235"/>
    <cfRule type="duplicateValues" dxfId="78" priority="236"/>
  </conditionalFormatting>
  <conditionalFormatting sqref="H36">
    <cfRule type="duplicateValues" dxfId="77" priority="127"/>
    <cfRule type="duplicateValues" dxfId="76" priority="128"/>
  </conditionalFormatting>
  <conditionalFormatting sqref="H37:H39">
    <cfRule type="duplicateValues" dxfId="75" priority="26"/>
    <cfRule type="duplicateValues" dxfId="74" priority="25"/>
  </conditionalFormatting>
  <conditionalFormatting sqref="H38">
    <cfRule type="duplicateValues" dxfId="73" priority="24"/>
    <cfRule type="duplicateValues" dxfId="72" priority="23"/>
  </conditionalFormatting>
  <conditionalFormatting sqref="H39">
    <cfRule type="duplicateValues" dxfId="71" priority="22"/>
    <cfRule type="duplicateValues" dxfId="70" priority="21"/>
  </conditionalFormatting>
  <conditionalFormatting sqref="H55">
    <cfRule type="duplicateValues" dxfId="69" priority="68"/>
    <cfRule type="duplicateValues" dxfId="68" priority="67"/>
  </conditionalFormatting>
  <conditionalFormatting sqref="H46:I48 K46:L48 N46:O48 Q46:R48">
    <cfRule type="duplicateValues" dxfId="67" priority="78"/>
  </conditionalFormatting>
  <conditionalFormatting sqref="H46:I48">
    <cfRule type="duplicateValues" dxfId="66" priority="77"/>
  </conditionalFormatting>
  <conditionalFormatting sqref="I23">
    <cfRule type="duplicateValues" dxfId="65" priority="42"/>
    <cfRule type="duplicateValues" dxfId="64" priority="41"/>
  </conditionalFormatting>
  <conditionalFormatting sqref="I24">
    <cfRule type="duplicateValues" dxfId="63" priority="234"/>
    <cfRule type="duplicateValues" dxfId="62" priority="233"/>
  </conditionalFormatting>
  <conditionalFormatting sqref="I55">
    <cfRule type="duplicateValues" dxfId="61" priority="66"/>
    <cfRule type="duplicateValues" dxfId="60" priority="65"/>
  </conditionalFormatting>
  <conditionalFormatting sqref="K23">
    <cfRule type="duplicateValues" dxfId="59" priority="39"/>
    <cfRule type="duplicateValues" dxfId="58" priority="40"/>
  </conditionalFormatting>
  <conditionalFormatting sqref="K24">
    <cfRule type="duplicateValues" dxfId="57" priority="232"/>
    <cfRule type="duplicateValues" dxfId="56" priority="231"/>
  </conditionalFormatting>
  <conditionalFormatting sqref="K36">
    <cfRule type="duplicateValues" dxfId="55" priority="123"/>
    <cfRule type="duplicateValues" dxfId="54" priority="124"/>
  </conditionalFormatting>
  <conditionalFormatting sqref="K37:K39">
    <cfRule type="duplicateValues" dxfId="53" priority="18"/>
    <cfRule type="duplicateValues" dxfId="52" priority="17"/>
  </conditionalFormatting>
  <conditionalFormatting sqref="K38">
    <cfRule type="duplicateValues" dxfId="51" priority="16"/>
    <cfRule type="duplicateValues" dxfId="50" priority="15"/>
  </conditionalFormatting>
  <conditionalFormatting sqref="K39">
    <cfRule type="duplicateValues" dxfId="49" priority="14"/>
    <cfRule type="duplicateValues" dxfId="48" priority="13"/>
  </conditionalFormatting>
  <conditionalFormatting sqref="K55">
    <cfRule type="duplicateValues" dxfId="47" priority="64"/>
    <cfRule type="duplicateValues" dxfId="46" priority="63"/>
  </conditionalFormatting>
  <conditionalFormatting sqref="L23">
    <cfRule type="duplicateValues" dxfId="45" priority="38"/>
    <cfRule type="duplicateValues" dxfId="44" priority="37"/>
  </conditionalFormatting>
  <conditionalFormatting sqref="L24">
    <cfRule type="duplicateValues" dxfId="43" priority="230"/>
    <cfRule type="duplicateValues" dxfId="42" priority="229"/>
  </conditionalFormatting>
  <conditionalFormatting sqref="L55">
    <cfRule type="duplicateValues" dxfId="41" priority="62"/>
    <cfRule type="duplicateValues" dxfId="40" priority="61"/>
  </conditionalFormatting>
  <conditionalFormatting sqref="N23">
    <cfRule type="duplicateValues" dxfId="39" priority="36"/>
    <cfRule type="duplicateValues" dxfId="38" priority="35"/>
  </conditionalFormatting>
  <conditionalFormatting sqref="N24">
    <cfRule type="duplicateValues" dxfId="37" priority="227"/>
    <cfRule type="duplicateValues" dxfId="36" priority="228"/>
  </conditionalFormatting>
  <conditionalFormatting sqref="N36">
    <cfRule type="duplicateValues" dxfId="35" priority="122"/>
    <cfRule type="duplicateValues" dxfId="34" priority="121"/>
  </conditionalFormatting>
  <conditionalFormatting sqref="N37:N39">
    <cfRule type="duplicateValues" dxfId="33" priority="11"/>
    <cfRule type="duplicateValues" dxfId="32" priority="12"/>
  </conditionalFormatting>
  <conditionalFormatting sqref="N38">
    <cfRule type="duplicateValues" dxfId="31" priority="10"/>
    <cfRule type="duplicateValues" dxfId="30" priority="9"/>
  </conditionalFormatting>
  <conditionalFormatting sqref="N39">
    <cfRule type="duplicateValues" dxfId="29" priority="8"/>
    <cfRule type="duplicateValues" dxfId="28" priority="7"/>
  </conditionalFormatting>
  <conditionalFormatting sqref="N55">
    <cfRule type="duplicateValues" dxfId="27" priority="59"/>
    <cfRule type="duplicateValues" dxfId="26" priority="60"/>
  </conditionalFormatting>
  <conditionalFormatting sqref="O23">
    <cfRule type="duplicateValues" dxfId="25" priority="34"/>
    <cfRule type="duplicateValues" dxfId="24" priority="33"/>
  </conditionalFormatting>
  <conditionalFormatting sqref="O24">
    <cfRule type="duplicateValues" dxfId="23" priority="226"/>
    <cfRule type="duplicateValues" dxfId="22" priority="225"/>
  </conditionalFormatting>
  <conditionalFormatting sqref="O55">
    <cfRule type="duplicateValues" dxfId="21" priority="57"/>
    <cfRule type="duplicateValues" dxfId="20" priority="58"/>
  </conditionalFormatting>
  <conditionalFormatting sqref="Q23">
    <cfRule type="duplicateValues" dxfId="19" priority="31"/>
    <cfRule type="duplicateValues" dxfId="18" priority="32"/>
  </conditionalFormatting>
  <conditionalFormatting sqref="Q24">
    <cfRule type="duplicateValues" dxfId="17" priority="224"/>
    <cfRule type="duplicateValues" dxfId="16" priority="223"/>
  </conditionalFormatting>
  <conditionalFormatting sqref="Q36">
    <cfRule type="duplicateValues" dxfId="15" priority="119"/>
    <cfRule type="duplicateValues" dxfId="14" priority="120"/>
  </conditionalFormatting>
  <conditionalFormatting sqref="Q37:Q39">
    <cfRule type="duplicateValues" dxfId="13" priority="6"/>
    <cfRule type="duplicateValues" dxfId="12" priority="5"/>
  </conditionalFormatting>
  <conditionalFormatting sqref="Q38">
    <cfRule type="duplicateValues" dxfId="11" priority="4"/>
    <cfRule type="duplicateValues" dxfId="10" priority="3"/>
  </conditionalFormatting>
  <conditionalFormatting sqref="Q39">
    <cfRule type="duplicateValues" dxfId="9" priority="1"/>
    <cfRule type="duplicateValues" dxfId="8" priority="2"/>
  </conditionalFormatting>
  <conditionalFormatting sqref="Q55">
    <cfRule type="duplicateValues" dxfId="7" priority="55"/>
    <cfRule type="duplicateValues" dxfId="6" priority="56"/>
  </conditionalFormatting>
  <conditionalFormatting sqref="R23">
    <cfRule type="duplicateValues" dxfId="5" priority="29"/>
    <cfRule type="duplicateValues" dxfId="4" priority="30"/>
  </conditionalFormatting>
  <conditionalFormatting sqref="R24">
    <cfRule type="duplicateValues" dxfId="3" priority="222"/>
    <cfRule type="duplicateValues" dxfId="2" priority="221"/>
  </conditionalFormatting>
  <conditionalFormatting sqref="R55">
    <cfRule type="duplicateValues" dxfId="1" priority="53"/>
    <cfRule type="duplicateValues" dxfId="0" priority="54"/>
  </conditionalFormatting>
  <dataValidations count="2">
    <dataValidation type="list" allowBlank="1" showInputMessage="1" showErrorMessage="1" sqref="B36" xr:uid="{7F9830C0-BF29-491C-8274-E4D3AAFE6B11}">
      <formula1>Forma_Pago</formula1>
    </dataValidation>
    <dataValidation type="list" allowBlank="1" showInputMessage="1" showErrorMessage="1" sqref="C14:F14 H14:I14 K14:L14 N14:O14 Q14:R14" xr:uid="{4F27B4C5-7709-46B2-B185-9328506BB326}">
      <formula1>Aseguradoras</formula1>
    </dataValidation>
  </dataValidations>
  <pageMargins left="0.7" right="0.7" top="0.75" bottom="0.75" header="0.3" footer="0.3"/>
  <pageSetup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6CF5F-4782-42F4-B176-66032D896ACB}">
  <dimension ref="A2:AX6"/>
  <sheetViews>
    <sheetView workbookViewId="0">
      <selection activeCell="A3" sqref="A3"/>
    </sheetView>
  </sheetViews>
  <sheetFormatPr baseColWidth="10" defaultColWidth="11.5703125" defaultRowHeight="15" x14ac:dyDescent="0.25"/>
  <cols>
    <col min="1" max="1" width="16.42578125" bestFit="1" customWidth="1"/>
    <col min="2" max="2" width="14.7109375" bestFit="1" customWidth="1"/>
    <col min="3" max="3" width="20.5703125" bestFit="1" customWidth="1"/>
    <col min="4" max="4" width="17.7109375" bestFit="1" customWidth="1"/>
    <col min="5" max="5" width="19.28515625" bestFit="1" customWidth="1"/>
    <col min="6" max="6" width="23.85546875" bestFit="1" customWidth="1"/>
    <col min="7" max="7" width="17.7109375" bestFit="1" customWidth="1"/>
    <col min="8" max="8" width="19.28515625" bestFit="1" customWidth="1"/>
    <col min="9" max="9" width="23.85546875" bestFit="1" customWidth="1"/>
    <col min="10" max="10" width="17.7109375" bestFit="1" customWidth="1"/>
    <col min="11" max="11" width="19.28515625" bestFit="1" customWidth="1"/>
    <col min="12" max="12" width="23.85546875" bestFit="1" customWidth="1"/>
    <col min="13" max="13" width="17.7109375" bestFit="1" customWidth="1"/>
    <col min="14" max="14" width="19.28515625" bestFit="1" customWidth="1"/>
    <col min="15" max="15" width="23.85546875" bestFit="1" customWidth="1"/>
    <col min="16" max="16" width="17.7109375" bestFit="1" customWidth="1"/>
    <col min="17" max="17" width="19.28515625" bestFit="1" customWidth="1"/>
    <col min="18" max="18" width="23.85546875" bestFit="1" customWidth="1"/>
    <col min="19" max="19" width="17.7109375" bestFit="1" customWidth="1"/>
    <col min="20" max="20" width="19.28515625" bestFit="1" customWidth="1"/>
    <col min="21" max="23" width="23.85546875" bestFit="1" customWidth="1"/>
    <col min="24" max="2306" width="27.42578125" bestFit="1" customWidth="1"/>
    <col min="2307" max="2307" width="25.7109375" bestFit="1" customWidth="1"/>
    <col min="2308" max="2308" width="27.7109375" bestFit="1" customWidth="1"/>
    <col min="2309" max="2309" width="32.28515625" bestFit="1" customWidth="1"/>
    <col min="2310" max="2310" width="26.5703125" bestFit="1" customWidth="1"/>
    <col min="2311" max="2311" width="29.7109375" bestFit="1" customWidth="1"/>
    <col min="2312" max="2312" width="30.28515625" bestFit="1" customWidth="1"/>
    <col min="2313" max="2313" width="28.7109375" bestFit="1" customWidth="1"/>
    <col min="2314" max="2314" width="29.140625" bestFit="1" customWidth="1"/>
  </cols>
  <sheetData>
    <row r="2" spans="1:50" x14ac:dyDescent="0.25">
      <c r="A2">
        <v>1</v>
      </c>
      <c r="B2">
        <v>2</v>
      </c>
      <c r="C2">
        <v>3</v>
      </c>
      <c r="D2">
        <v>4</v>
      </c>
      <c r="E2">
        <v>5</v>
      </c>
      <c r="F2">
        <v>6</v>
      </c>
      <c r="G2">
        <v>7</v>
      </c>
      <c r="H2">
        <v>8</v>
      </c>
      <c r="I2">
        <v>9</v>
      </c>
      <c r="J2">
        <v>10</v>
      </c>
      <c r="K2">
        <v>11</v>
      </c>
      <c r="L2">
        <v>12</v>
      </c>
      <c r="M2">
        <v>13</v>
      </c>
      <c r="N2">
        <v>14</v>
      </c>
      <c r="O2">
        <v>15</v>
      </c>
      <c r="P2">
        <v>16</v>
      </c>
      <c r="Q2">
        <v>17</v>
      </c>
      <c r="R2">
        <v>18</v>
      </c>
      <c r="S2">
        <v>19</v>
      </c>
      <c r="T2">
        <v>20</v>
      </c>
      <c r="U2">
        <v>21</v>
      </c>
      <c r="V2">
        <v>22</v>
      </c>
      <c r="W2">
        <v>23</v>
      </c>
      <c r="X2">
        <v>24</v>
      </c>
      <c r="Y2">
        <v>25</v>
      </c>
      <c r="Z2">
        <v>26</v>
      </c>
      <c r="AA2">
        <v>27</v>
      </c>
      <c r="AB2">
        <v>28</v>
      </c>
      <c r="AC2">
        <v>29</v>
      </c>
      <c r="AD2">
        <v>30</v>
      </c>
      <c r="AE2">
        <v>31</v>
      </c>
      <c r="AF2">
        <v>32</v>
      </c>
      <c r="AG2">
        <v>33</v>
      </c>
      <c r="AH2">
        <v>34</v>
      </c>
      <c r="AI2">
        <v>35</v>
      </c>
      <c r="AJ2">
        <v>36</v>
      </c>
      <c r="AK2">
        <v>37</v>
      </c>
      <c r="AL2">
        <v>38</v>
      </c>
      <c r="AM2">
        <v>39</v>
      </c>
      <c r="AN2">
        <v>40</v>
      </c>
      <c r="AO2">
        <v>41</v>
      </c>
      <c r="AP2">
        <v>42</v>
      </c>
      <c r="AQ2">
        <v>43</v>
      </c>
      <c r="AR2">
        <v>44</v>
      </c>
      <c r="AS2">
        <v>45</v>
      </c>
      <c r="AT2">
        <v>46</v>
      </c>
      <c r="AU2">
        <v>47</v>
      </c>
      <c r="AV2">
        <v>48</v>
      </c>
      <c r="AW2">
        <v>49</v>
      </c>
      <c r="AX2">
        <v>50</v>
      </c>
    </row>
    <row r="3" spans="1:50" x14ac:dyDescent="0.25">
      <c r="A3" s="71" t="s">
        <v>70</v>
      </c>
      <c r="B3" t="s">
        <v>71</v>
      </c>
      <c r="C3" t="s">
        <v>72</v>
      </c>
      <c r="D3" t="s">
        <v>91</v>
      </c>
      <c r="E3" t="s">
        <v>90</v>
      </c>
      <c r="F3" t="s">
        <v>92</v>
      </c>
      <c r="G3" t="s">
        <v>93</v>
      </c>
      <c r="H3" t="s">
        <v>94</v>
      </c>
      <c r="I3" t="s">
        <v>95</v>
      </c>
      <c r="J3" t="s">
        <v>96</v>
      </c>
      <c r="K3" t="s">
        <v>97</v>
      </c>
      <c r="L3" t="s">
        <v>98</v>
      </c>
      <c r="M3" t="s">
        <v>99</v>
      </c>
      <c r="N3" t="s">
        <v>100</v>
      </c>
      <c r="O3" t="s">
        <v>101</v>
      </c>
      <c r="P3" t="s">
        <v>102</v>
      </c>
      <c r="Q3" t="s">
        <v>103</v>
      </c>
      <c r="R3" t="s">
        <v>104</v>
      </c>
    </row>
    <row r="4" spans="1:50" x14ac:dyDescent="0.25">
      <c r="A4" s="69" t="s">
        <v>4</v>
      </c>
      <c r="B4">
        <v>4</v>
      </c>
      <c r="C4" s="70">
        <v>800</v>
      </c>
      <c r="D4">
        <v>2</v>
      </c>
      <c r="E4">
        <v>2</v>
      </c>
      <c r="F4">
        <v>2</v>
      </c>
      <c r="G4">
        <v>1</v>
      </c>
      <c r="H4">
        <v>3</v>
      </c>
      <c r="I4">
        <v>4</v>
      </c>
      <c r="J4">
        <v>1</v>
      </c>
      <c r="K4">
        <v>5</v>
      </c>
      <c r="L4">
        <v>6</v>
      </c>
      <c r="M4">
        <v>1</v>
      </c>
      <c r="N4">
        <v>7</v>
      </c>
      <c r="O4">
        <v>8</v>
      </c>
      <c r="P4">
        <v>1</v>
      </c>
      <c r="Q4">
        <v>9</v>
      </c>
      <c r="R4">
        <v>10</v>
      </c>
    </row>
    <row r="5" spans="1:50" x14ac:dyDescent="0.25">
      <c r="A5" s="69" t="s">
        <v>5</v>
      </c>
      <c r="B5">
        <v>10</v>
      </c>
      <c r="C5" s="70">
        <v>10800</v>
      </c>
      <c r="D5">
        <v>3</v>
      </c>
      <c r="E5">
        <v>3</v>
      </c>
      <c r="G5">
        <v>0</v>
      </c>
      <c r="J5">
        <v>0</v>
      </c>
      <c r="M5">
        <v>0</v>
      </c>
      <c r="P5">
        <v>0</v>
      </c>
    </row>
    <row r="6" spans="1:50" x14ac:dyDescent="0.25">
      <c r="A6" s="69" t="s">
        <v>73</v>
      </c>
      <c r="B6">
        <v>14</v>
      </c>
      <c r="C6" s="70">
        <v>11600</v>
      </c>
      <c r="D6">
        <v>5</v>
      </c>
      <c r="E6">
        <v>5</v>
      </c>
      <c r="F6">
        <v>2</v>
      </c>
      <c r="G6">
        <v>1</v>
      </c>
      <c r="H6">
        <v>3</v>
      </c>
      <c r="I6">
        <v>4</v>
      </c>
      <c r="J6">
        <v>1</v>
      </c>
      <c r="K6">
        <v>5</v>
      </c>
      <c r="L6">
        <v>6</v>
      </c>
      <c r="M6">
        <v>1</v>
      </c>
      <c r="N6">
        <v>7</v>
      </c>
      <c r="O6">
        <v>8</v>
      </c>
      <c r="P6">
        <v>1</v>
      </c>
      <c r="Q6">
        <v>9</v>
      </c>
      <c r="R6">
        <v>10</v>
      </c>
    </row>
  </sheetData>
  <pageMargins left="0.7" right="0.7" top="0.75" bottom="0.75" header="0.3" footer="0.3"/>
  <pageSetup paperSize="9" orientation="portrait" horizontalDpi="360" verticalDpi="36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</vt:i4>
      </vt:variant>
    </vt:vector>
  </HeadingPairs>
  <TitlesOfParts>
    <vt:vector size="8" baseType="lpstr">
      <vt:lpstr>Comentarios Comparativo</vt:lpstr>
      <vt:lpstr>Resumen de Primas</vt:lpstr>
      <vt:lpstr>Siniestralidad</vt:lpstr>
      <vt:lpstr>Hoja1</vt:lpstr>
      <vt:lpstr>TD-Datos</vt:lpstr>
      <vt:lpstr>Prueba</vt:lpstr>
      <vt:lpstr>TD-Prueba</vt:lpstr>
      <vt:lpstr>'TD-Prueba'!Títulos_a_imprimir</vt:lpstr>
    </vt:vector>
  </TitlesOfParts>
  <Company>Willis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Zabddiel Enriquez</dc:creator>
  <cp:lastModifiedBy>Jorge Laj</cp:lastModifiedBy>
  <cp:lastPrinted>2024-05-02T23:07:34Z</cp:lastPrinted>
  <dcterms:created xsi:type="dcterms:W3CDTF">2018-03-09T17:24:06Z</dcterms:created>
  <dcterms:modified xsi:type="dcterms:W3CDTF">2025-05-13T04:13:36Z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MSIP_Label_d347b247-e90e-43a3-9d7b-004f14ae6873_Enabled">
    <vt:lpwstr>true</vt:lpwstr>
  </property>
  <property fmtid="{D5CDD505-2E9C-101B-9397-08002B2CF9AE}" pid="4" name="MSIP_Label_d347b247-e90e-43a3-9d7b-004f14ae6873_SetDate">
    <vt:lpwstr>2022-03-25T00:51:36Z</vt:lpwstr>
  </property>
  <property fmtid="{D5CDD505-2E9C-101B-9397-08002B2CF9AE}" pid="5" name="MSIP_Label_d347b247-e90e-43a3-9d7b-004f14ae6873_Method">
    <vt:lpwstr>Standard</vt:lpwstr>
  </property>
  <property fmtid="{D5CDD505-2E9C-101B-9397-08002B2CF9AE}" pid="6" name="MSIP_Label_d347b247-e90e-43a3-9d7b-004f14ae6873_Name">
    <vt:lpwstr>d347b247-e90e-43a3-9d7b-004f14ae6873</vt:lpwstr>
  </property>
  <property fmtid="{D5CDD505-2E9C-101B-9397-08002B2CF9AE}" pid="7" name="MSIP_Label_d347b247-e90e-43a3-9d7b-004f14ae6873_SiteId">
    <vt:lpwstr>76e3921f-489b-4b7e-9547-9ea297add9b5</vt:lpwstr>
  </property>
  <property fmtid="{D5CDD505-2E9C-101B-9397-08002B2CF9AE}" pid="8" name="MSIP_Label_d347b247-e90e-43a3-9d7b-004f14ae6873_ActionId">
    <vt:lpwstr>543f6dee-d127-423d-813a-90a52c226b21</vt:lpwstr>
  </property>
  <property fmtid="{D5CDD505-2E9C-101B-9397-08002B2CF9AE}" pid="9" name="MSIP_Label_d347b247-e90e-43a3-9d7b-004f14ae6873_ContentBits">
    <vt:lpwstr>0</vt:lpwstr>
  </property>
</Properties>
</file>