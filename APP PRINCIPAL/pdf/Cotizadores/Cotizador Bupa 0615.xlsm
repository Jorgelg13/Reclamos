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drawings/drawing9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4.xml" ContentType="application/vnd.openxmlformats-officedocument.drawing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comments1.xml" ContentType="application/vnd.openxmlformats-officedocument.spreadsheetml.comments+xml"/>
  <Override PartName="/xl/ctrlProps/ctrlProp1.xml" ContentType="application/vnd.ms-excel.controlproperties+xml"/>
  <Override PartName="/docProps/app.xml" ContentType="application/vnd.openxmlformats-officedocument.extended-properties+xml"/>
  <Override PartName="/xl/ctrlProps/ctrlProp8.xml" ContentType="application/vnd.ms-excel.controlproperties+xml"/>
  <Override PartName="/xl/ctrlProps/ctrlProp13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ctrlProps/ctrlProp10.xml" ContentType="application/vnd.ms-excel.controlproperties+xml"/>
  <Override PartName="/xl/ctrlProps/ctrlProp9.xml" ContentType="application/vnd.ms-excel.controlproperties+xml"/>
  <Override PartName="/xl/ctrlProps/ctrlProp7.xml" ContentType="application/vnd.ms-excel.controlproperties+xml"/>
  <Override PartName="/xl/ctrlProps/ctrlProp5.xml" ContentType="application/vnd.ms-excel.controlproperties+xml"/>
  <Override PartName="/xl/ctrlProps/ctrlProp4.xml" ContentType="application/vnd.ms-excel.controlproperties+xml"/>
  <Override PartName="/xl/ctrlProps/ctrlProp14.xml" ContentType="application/vnd.ms-excel.controlproperties+xml"/>
  <Override PartName="/docProps/core.xml" ContentType="application/vnd.openxmlformats-package.core-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16275" yWindow="0" windowWidth="2655" windowHeight="7905" tabRatio="195" activeTab="8"/>
  </bookViews>
  <sheets>
    <sheet name="INGRESO DE DATOS" sheetId="6" r:id="rId1"/>
    <sheet name="Complete" sheetId="2" r:id="rId2"/>
    <sheet name="Secure" sheetId="8" r:id="rId3"/>
    <sheet name="Premium" sheetId="10" r:id="rId4"/>
    <sheet name="Advantage (LA)" sheetId="11" state="hidden" r:id="rId5"/>
    <sheet name="Classic" sheetId="12" r:id="rId6"/>
    <sheet name="Blue 500" sheetId="13" state="hidden" r:id="rId7"/>
    <sheet name="Blue 100" sheetId="18" state="hidden" r:id="rId8"/>
    <sheet name="Resumen tarifas anuales" sheetId="15" r:id="rId9"/>
    <sheet name="Tablas" sheetId="4" r:id="rId10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6" i="18" l="1"/>
  <c r="K31" i="18" s="1"/>
  <c r="J16" i="18"/>
  <c r="J32" i="18" s="1"/>
  <c r="J31" i="18"/>
  <c r="M18" i="18"/>
  <c r="J18" i="18"/>
  <c r="J33" i="18" s="1"/>
  <c r="J34" i="18"/>
  <c r="J35" i="18"/>
  <c r="K32" i="18"/>
  <c r="K33" i="18"/>
  <c r="K34" i="18"/>
  <c r="K35" i="18"/>
  <c r="L34" i="18"/>
  <c r="L35" i="18"/>
  <c r="M33" i="18"/>
  <c r="M34" i="18"/>
  <c r="M35" i="18"/>
  <c r="I31" i="18"/>
  <c r="I32" i="18"/>
  <c r="I34" i="18"/>
  <c r="I35" i="18"/>
  <c r="H871" i="4"/>
  <c r="H850" i="4"/>
  <c r="G871" i="4"/>
  <c r="G850" i="4"/>
  <c r="L42" i="18" s="1"/>
  <c r="M44" i="18"/>
  <c r="F871" i="4"/>
  <c r="F850" i="4"/>
  <c r="E871" i="4"/>
  <c r="E850" i="4"/>
  <c r="J42" i="18" s="1"/>
  <c r="E917" i="4"/>
  <c r="J46" i="18" s="1"/>
  <c r="F917" i="4"/>
  <c r="K46" i="18" s="1"/>
  <c r="G917" i="4"/>
  <c r="L46" i="18" s="1"/>
  <c r="H917" i="4"/>
  <c r="M46" i="18" s="1"/>
  <c r="E916" i="4"/>
  <c r="J45" i="18" s="1"/>
  <c r="F916" i="4"/>
  <c r="K45" i="18" s="1"/>
  <c r="G916" i="4"/>
  <c r="L45" i="18" s="1"/>
  <c r="H916" i="4"/>
  <c r="M45" i="18" s="1"/>
  <c r="D917" i="4"/>
  <c r="I46" i="18" s="1"/>
  <c r="D916" i="4"/>
  <c r="I45" i="18" s="1"/>
  <c r="I44" i="18"/>
  <c r="D871" i="4"/>
  <c r="I43" i="18"/>
  <c r="D850" i="4"/>
  <c r="C917" i="4"/>
  <c r="C916" i="4"/>
  <c r="H915" i="4"/>
  <c r="G915" i="4"/>
  <c r="F915" i="4"/>
  <c r="E915" i="4"/>
  <c r="D915" i="4"/>
  <c r="C915" i="4"/>
  <c r="H914" i="4"/>
  <c r="G914" i="4"/>
  <c r="F914" i="4"/>
  <c r="E914" i="4"/>
  <c r="D914" i="4"/>
  <c r="C914" i="4"/>
  <c r="H913" i="4"/>
  <c r="G913" i="4"/>
  <c r="F913" i="4"/>
  <c r="E913" i="4"/>
  <c r="D913" i="4"/>
  <c r="C913" i="4"/>
  <c r="H912" i="4"/>
  <c r="G912" i="4"/>
  <c r="F912" i="4"/>
  <c r="E912" i="4"/>
  <c r="D912" i="4"/>
  <c r="H911" i="4"/>
  <c r="G911" i="4"/>
  <c r="F911" i="4"/>
  <c r="E911" i="4"/>
  <c r="D911" i="4"/>
  <c r="H910" i="4"/>
  <c r="G910" i="4"/>
  <c r="F910" i="4"/>
  <c r="E910" i="4"/>
  <c r="D910" i="4"/>
  <c r="H909" i="4"/>
  <c r="G909" i="4"/>
  <c r="F909" i="4"/>
  <c r="E909" i="4"/>
  <c r="D909" i="4"/>
  <c r="H908" i="4"/>
  <c r="G908" i="4"/>
  <c r="F908" i="4"/>
  <c r="E908" i="4"/>
  <c r="D908" i="4"/>
  <c r="H907" i="4"/>
  <c r="G907" i="4"/>
  <c r="F907" i="4"/>
  <c r="E907" i="4"/>
  <c r="D907" i="4"/>
  <c r="H906" i="4"/>
  <c r="G906" i="4"/>
  <c r="F906" i="4"/>
  <c r="E906" i="4"/>
  <c r="D906" i="4"/>
  <c r="H905" i="4"/>
  <c r="G905" i="4"/>
  <c r="F905" i="4"/>
  <c r="E905" i="4"/>
  <c r="D905" i="4"/>
  <c r="H904" i="4"/>
  <c r="G904" i="4"/>
  <c r="F904" i="4"/>
  <c r="E904" i="4"/>
  <c r="D904" i="4"/>
  <c r="H903" i="4"/>
  <c r="G903" i="4"/>
  <c r="F903" i="4"/>
  <c r="E903" i="4"/>
  <c r="D903" i="4"/>
  <c r="H902" i="4"/>
  <c r="G902" i="4"/>
  <c r="F902" i="4"/>
  <c r="E902" i="4"/>
  <c r="D902" i="4"/>
  <c r="H901" i="4"/>
  <c r="G901" i="4"/>
  <c r="F901" i="4"/>
  <c r="E901" i="4"/>
  <c r="D901" i="4"/>
  <c r="H900" i="4"/>
  <c r="G900" i="4"/>
  <c r="F900" i="4"/>
  <c r="E900" i="4"/>
  <c r="D900" i="4"/>
  <c r="H899" i="4"/>
  <c r="G899" i="4"/>
  <c r="F899" i="4"/>
  <c r="E899" i="4"/>
  <c r="D899" i="4"/>
  <c r="H898" i="4"/>
  <c r="G898" i="4"/>
  <c r="F898" i="4"/>
  <c r="E898" i="4"/>
  <c r="D898" i="4"/>
  <c r="H897" i="4"/>
  <c r="G897" i="4"/>
  <c r="F897" i="4"/>
  <c r="E897" i="4"/>
  <c r="D897" i="4"/>
  <c r="H896" i="4"/>
  <c r="G896" i="4"/>
  <c r="F896" i="4"/>
  <c r="E896" i="4"/>
  <c r="D896" i="4"/>
  <c r="H895" i="4"/>
  <c r="G895" i="4"/>
  <c r="F895" i="4"/>
  <c r="E895" i="4"/>
  <c r="D895" i="4"/>
  <c r="H894" i="4"/>
  <c r="G894" i="4"/>
  <c r="F894" i="4"/>
  <c r="E894" i="4"/>
  <c r="D894" i="4"/>
  <c r="H893" i="4"/>
  <c r="G893" i="4"/>
  <c r="F893" i="4"/>
  <c r="E893" i="4"/>
  <c r="D893" i="4"/>
  <c r="H892" i="4"/>
  <c r="G892" i="4"/>
  <c r="F892" i="4"/>
  <c r="E892" i="4"/>
  <c r="D892" i="4"/>
  <c r="H891" i="4"/>
  <c r="G891" i="4"/>
  <c r="F891" i="4"/>
  <c r="E891" i="4"/>
  <c r="D891" i="4"/>
  <c r="H890" i="4"/>
  <c r="G890" i="4"/>
  <c r="F890" i="4"/>
  <c r="E890" i="4"/>
  <c r="D890" i="4"/>
  <c r="H889" i="4"/>
  <c r="G889" i="4"/>
  <c r="F889" i="4"/>
  <c r="E889" i="4"/>
  <c r="D889" i="4"/>
  <c r="H888" i="4"/>
  <c r="G888" i="4"/>
  <c r="F888" i="4"/>
  <c r="E888" i="4"/>
  <c r="D888" i="4"/>
  <c r="H887" i="4"/>
  <c r="G887" i="4"/>
  <c r="F887" i="4"/>
  <c r="E887" i="4"/>
  <c r="D887" i="4"/>
  <c r="H886" i="4"/>
  <c r="G886" i="4"/>
  <c r="F886" i="4"/>
  <c r="E886" i="4"/>
  <c r="D886" i="4"/>
  <c r="H885" i="4"/>
  <c r="G885" i="4"/>
  <c r="F885" i="4"/>
  <c r="E885" i="4"/>
  <c r="D885" i="4"/>
  <c r="H884" i="4"/>
  <c r="G884" i="4"/>
  <c r="F884" i="4"/>
  <c r="E884" i="4"/>
  <c r="D884" i="4"/>
  <c r="H883" i="4"/>
  <c r="G883" i="4"/>
  <c r="F883" i="4"/>
  <c r="E883" i="4"/>
  <c r="D883" i="4"/>
  <c r="H882" i="4"/>
  <c r="G882" i="4"/>
  <c r="F882" i="4"/>
  <c r="E882" i="4"/>
  <c r="D882" i="4"/>
  <c r="H881" i="4"/>
  <c r="G881" i="4"/>
  <c r="F881" i="4"/>
  <c r="E881" i="4"/>
  <c r="D881" i="4"/>
  <c r="H880" i="4"/>
  <c r="G880" i="4"/>
  <c r="F880" i="4"/>
  <c r="E880" i="4"/>
  <c r="D880" i="4"/>
  <c r="H879" i="4"/>
  <c r="G879" i="4"/>
  <c r="F879" i="4"/>
  <c r="E879" i="4"/>
  <c r="D879" i="4"/>
  <c r="H878" i="4"/>
  <c r="G878" i="4"/>
  <c r="F878" i="4"/>
  <c r="E878" i="4"/>
  <c r="D878" i="4"/>
  <c r="H877" i="4"/>
  <c r="G877" i="4"/>
  <c r="F877" i="4"/>
  <c r="E877" i="4"/>
  <c r="D877" i="4"/>
  <c r="H876" i="4"/>
  <c r="G876" i="4"/>
  <c r="F876" i="4"/>
  <c r="E876" i="4"/>
  <c r="D876" i="4"/>
  <c r="H875" i="4"/>
  <c r="G875" i="4"/>
  <c r="F875" i="4"/>
  <c r="E875" i="4"/>
  <c r="D875" i="4"/>
  <c r="H874" i="4"/>
  <c r="G874" i="4"/>
  <c r="F874" i="4"/>
  <c r="E874" i="4"/>
  <c r="D874" i="4"/>
  <c r="H873" i="4"/>
  <c r="G873" i="4"/>
  <c r="F873" i="4"/>
  <c r="E873" i="4"/>
  <c r="D873" i="4"/>
  <c r="C873" i="4"/>
  <c r="H872" i="4"/>
  <c r="G872" i="4"/>
  <c r="F872" i="4"/>
  <c r="E872" i="4"/>
  <c r="D872" i="4"/>
  <c r="C872" i="4"/>
  <c r="C871" i="4"/>
  <c r="H870" i="4"/>
  <c r="G870" i="4"/>
  <c r="F870" i="4"/>
  <c r="E870" i="4"/>
  <c r="D870" i="4"/>
  <c r="C870" i="4"/>
  <c r="H869" i="4"/>
  <c r="G869" i="4"/>
  <c r="F869" i="4"/>
  <c r="E869" i="4"/>
  <c r="D869" i="4"/>
  <c r="C869" i="4"/>
  <c r="H868" i="4"/>
  <c r="G868" i="4"/>
  <c r="F868" i="4"/>
  <c r="E868" i="4"/>
  <c r="D868" i="4"/>
  <c r="C868" i="4"/>
  <c r="H867" i="4"/>
  <c r="G867" i="4"/>
  <c r="F867" i="4"/>
  <c r="E867" i="4"/>
  <c r="D867" i="4"/>
  <c r="C867" i="4"/>
  <c r="H866" i="4"/>
  <c r="G866" i="4"/>
  <c r="F866" i="4"/>
  <c r="E866" i="4"/>
  <c r="D866" i="4"/>
  <c r="C866" i="4"/>
  <c r="H865" i="4"/>
  <c r="G865" i="4"/>
  <c r="F865" i="4"/>
  <c r="E865" i="4"/>
  <c r="D865" i="4"/>
  <c r="C865" i="4"/>
  <c r="H864" i="4"/>
  <c r="G864" i="4"/>
  <c r="F864" i="4"/>
  <c r="E864" i="4"/>
  <c r="D864" i="4"/>
  <c r="C864" i="4"/>
  <c r="H863" i="4"/>
  <c r="G863" i="4"/>
  <c r="F863" i="4"/>
  <c r="E863" i="4"/>
  <c r="D863" i="4"/>
  <c r="C863" i="4"/>
  <c r="H862" i="4"/>
  <c r="G862" i="4"/>
  <c r="F862" i="4"/>
  <c r="E862" i="4"/>
  <c r="D862" i="4"/>
  <c r="C862" i="4"/>
  <c r="H861" i="4"/>
  <c r="G861" i="4"/>
  <c r="F861" i="4"/>
  <c r="E861" i="4"/>
  <c r="D861" i="4"/>
  <c r="C861" i="4"/>
  <c r="H860" i="4"/>
  <c r="G860" i="4"/>
  <c r="F860" i="4"/>
  <c r="E860" i="4"/>
  <c r="D860" i="4"/>
  <c r="C860" i="4"/>
  <c r="H859" i="4"/>
  <c r="G859" i="4"/>
  <c r="F859" i="4"/>
  <c r="E859" i="4"/>
  <c r="D859" i="4"/>
  <c r="C859" i="4"/>
  <c r="H858" i="4"/>
  <c r="G858" i="4"/>
  <c r="F858" i="4"/>
  <c r="E858" i="4"/>
  <c r="D858" i="4"/>
  <c r="C858" i="4"/>
  <c r="H857" i="4"/>
  <c r="G857" i="4"/>
  <c r="F857" i="4"/>
  <c r="E857" i="4"/>
  <c r="D857" i="4"/>
  <c r="C857" i="4"/>
  <c r="H856" i="4"/>
  <c r="G856" i="4"/>
  <c r="F856" i="4"/>
  <c r="E856" i="4"/>
  <c r="D856" i="4"/>
  <c r="C856" i="4"/>
  <c r="H855" i="4"/>
  <c r="G855" i="4"/>
  <c r="F855" i="4"/>
  <c r="E855" i="4"/>
  <c r="D855" i="4"/>
  <c r="C855" i="4"/>
  <c r="H854" i="4"/>
  <c r="G854" i="4"/>
  <c r="F854" i="4"/>
  <c r="E854" i="4"/>
  <c r="D854" i="4"/>
  <c r="C854" i="4"/>
  <c r="H853" i="4"/>
  <c r="G853" i="4"/>
  <c r="F853" i="4"/>
  <c r="E853" i="4"/>
  <c r="D853" i="4"/>
  <c r="C853" i="4"/>
  <c r="H852" i="4"/>
  <c r="G852" i="4"/>
  <c r="F852" i="4"/>
  <c r="E852" i="4"/>
  <c r="D852" i="4"/>
  <c r="C852" i="4"/>
  <c r="H851" i="4"/>
  <c r="G851" i="4"/>
  <c r="F851" i="4"/>
  <c r="E851" i="4"/>
  <c r="D851" i="4"/>
  <c r="C851" i="4"/>
  <c r="C850" i="4"/>
  <c r="J16" i="13"/>
  <c r="M43" i="13" s="1"/>
  <c r="M18" i="13"/>
  <c r="H726" i="4"/>
  <c r="M16" i="13"/>
  <c r="M31" i="13" s="1"/>
  <c r="H705" i="4"/>
  <c r="M42" i="13"/>
  <c r="G726" i="4"/>
  <c r="L43" i="13"/>
  <c r="L47" i="13" s="1"/>
  <c r="L49" i="13" s="1"/>
  <c r="L50" i="13" s="1"/>
  <c r="G705" i="4"/>
  <c r="L42" i="13"/>
  <c r="F726" i="4"/>
  <c r="K43" i="13"/>
  <c r="F705" i="4"/>
  <c r="K42" i="13"/>
  <c r="E726" i="4"/>
  <c r="J43" i="13"/>
  <c r="E705" i="4"/>
  <c r="J42" i="13"/>
  <c r="D726" i="4"/>
  <c r="I43" i="13"/>
  <c r="I47" i="13" s="1"/>
  <c r="I49" i="13" s="1"/>
  <c r="I51" i="13" s="1"/>
  <c r="D705" i="4"/>
  <c r="I42" i="13"/>
  <c r="L31" i="13"/>
  <c r="J31" i="13"/>
  <c r="J16" i="12"/>
  <c r="M18" i="12"/>
  <c r="H580" i="4"/>
  <c r="M44" i="12"/>
  <c r="M16" i="12"/>
  <c r="M31" i="12" s="1"/>
  <c r="H559" i="4"/>
  <c r="G580" i="4"/>
  <c r="L44" i="12"/>
  <c r="G559" i="4"/>
  <c r="L43" i="12" s="1"/>
  <c r="F580" i="4"/>
  <c r="K44" i="12"/>
  <c r="F559" i="4"/>
  <c r="E580" i="4"/>
  <c r="J44" i="12"/>
  <c r="E559" i="4"/>
  <c r="J43" i="12" s="1"/>
  <c r="D580" i="4"/>
  <c r="I44" i="12"/>
  <c r="D559" i="4"/>
  <c r="M32" i="12"/>
  <c r="L32" i="12"/>
  <c r="K32" i="12"/>
  <c r="J32" i="12"/>
  <c r="I32" i="12"/>
  <c r="D729" i="4"/>
  <c r="E729" i="4"/>
  <c r="F729" i="4"/>
  <c r="G729" i="4"/>
  <c r="H729" i="4"/>
  <c r="D730" i="4"/>
  <c r="E730" i="4"/>
  <c r="F730" i="4"/>
  <c r="G730" i="4"/>
  <c r="H730" i="4"/>
  <c r="D731" i="4"/>
  <c r="E731" i="4"/>
  <c r="F731" i="4"/>
  <c r="G731" i="4"/>
  <c r="H731" i="4"/>
  <c r="D732" i="4"/>
  <c r="E732" i="4"/>
  <c r="F732" i="4"/>
  <c r="G732" i="4"/>
  <c r="H732" i="4"/>
  <c r="D733" i="4"/>
  <c r="E733" i="4"/>
  <c r="F733" i="4"/>
  <c r="G733" i="4"/>
  <c r="H733" i="4"/>
  <c r="D734" i="4"/>
  <c r="E734" i="4"/>
  <c r="F734" i="4"/>
  <c r="G734" i="4"/>
  <c r="H734" i="4"/>
  <c r="D735" i="4"/>
  <c r="E735" i="4"/>
  <c r="F735" i="4"/>
  <c r="G735" i="4"/>
  <c r="H735" i="4"/>
  <c r="D736" i="4"/>
  <c r="E736" i="4"/>
  <c r="F736" i="4"/>
  <c r="G736" i="4"/>
  <c r="H736" i="4"/>
  <c r="D737" i="4"/>
  <c r="E737" i="4"/>
  <c r="F737" i="4"/>
  <c r="G737" i="4"/>
  <c r="H737" i="4"/>
  <c r="D738" i="4"/>
  <c r="E738" i="4"/>
  <c r="F738" i="4"/>
  <c r="G738" i="4"/>
  <c r="H738" i="4"/>
  <c r="D739" i="4"/>
  <c r="E739" i="4"/>
  <c r="F739" i="4"/>
  <c r="G739" i="4"/>
  <c r="H739" i="4"/>
  <c r="D740" i="4"/>
  <c r="E740" i="4"/>
  <c r="F740" i="4"/>
  <c r="G740" i="4"/>
  <c r="H740" i="4"/>
  <c r="D741" i="4"/>
  <c r="E741" i="4"/>
  <c r="F741" i="4"/>
  <c r="G741" i="4"/>
  <c r="H741" i="4"/>
  <c r="D742" i="4"/>
  <c r="E742" i="4"/>
  <c r="F742" i="4"/>
  <c r="G742" i="4"/>
  <c r="H742" i="4"/>
  <c r="D743" i="4"/>
  <c r="E743" i="4"/>
  <c r="F743" i="4"/>
  <c r="G743" i="4"/>
  <c r="H743" i="4"/>
  <c r="D744" i="4"/>
  <c r="E744" i="4"/>
  <c r="F744" i="4"/>
  <c r="G744" i="4"/>
  <c r="H744" i="4"/>
  <c r="D745" i="4"/>
  <c r="E745" i="4"/>
  <c r="F745" i="4"/>
  <c r="G745" i="4"/>
  <c r="H745" i="4"/>
  <c r="D746" i="4"/>
  <c r="E746" i="4"/>
  <c r="F746" i="4"/>
  <c r="G746" i="4"/>
  <c r="H746" i="4"/>
  <c r="D747" i="4"/>
  <c r="E747" i="4"/>
  <c r="F747" i="4"/>
  <c r="G747" i="4"/>
  <c r="H747" i="4"/>
  <c r="D748" i="4"/>
  <c r="E748" i="4"/>
  <c r="F748" i="4"/>
  <c r="G748" i="4"/>
  <c r="H748" i="4"/>
  <c r="D749" i="4"/>
  <c r="E749" i="4"/>
  <c r="F749" i="4"/>
  <c r="G749" i="4"/>
  <c r="H749" i="4"/>
  <c r="D750" i="4"/>
  <c r="E750" i="4"/>
  <c r="F750" i="4"/>
  <c r="G750" i="4"/>
  <c r="H750" i="4"/>
  <c r="D751" i="4"/>
  <c r="E751" i="4"/>
  <c r="F751" i="4"/>
  <c r="G751" i="4"/>
  <c r="H751" i="4"/>
  <c r="D752" i="4"/>
  <c r="E752" i="4"/>
  <c r="F752" i="4"/>
  <c r="G752" i="4"/>
  <c r="H752" i="4"/>
  <c r="D753" i="4"/>
  <c r="E753" i="4"/>
  <c r="F753" i="4"/>
  <c r="G753" i="4"/>
  <c r="H753" i="4"/>
  <c r="D754" i="4"/>
  <c r="E754" i="4"/>
  <c r="F754" i="4"/>
  <c r="G754" i="4"/>
  <c r="H754" i="4"/>
  <c r="D755" i="4"/>
  <c r="E755" i="4"/>
  <c r="F755" i="4"/>
  <c r="G755" i="4"/>
  <c r="H755" i="4"/>
  <c r="D756" i="4"/>
  <c r="E756" i="4"/>
  <c r="F756" i="4"/>
  <c r="G756" i="4"/>
  <c r="H756" i="4"/>
  <c r="D757" i="4"/>
  <c r="E757" i="4"/>
  <c r="F757" i="4"/>
  <c r="G757" i="4"/>
  <c r="H757" i="4"/>
  <c r="D758" i="4"/>
  <c r="E758" i="4"/>
  <c r="F758" i="4"/>
  <c r="G758" i="4"/>
  <c r="H758" i="4"/>
  <c r="D759" i="4"/>
  <c r="E759" i="4"/>
  <c r="F759" i="4"/>
  <c r="G759" i="4"/>
  <c r="H759" i="4"/>
  <c r="D760" i="4"/>
  <c r="E760" i="4"/>
  <c r="F760" i="4"/>
  <c r="G760" i="4"/>
  <c r="H760" i="4"/>
  <c r="D761" i="4"/>
  <c r="E761" i="4"/>
  <c r="F761" i="4"/>
  <c r="G761" i="4"/>
  <c r="H761" i="4"/>
  <c r="D762" i="4"/>
  <c r="E762" i="4"/>
  <c r="F762" i="4"/>
  <c r="G762" i="4"/>
  <c r="H762" i="4"/>
  <c r="D763" i="4"/>
  <c r="E763" i="4"/>
  <c r="F763" i="4"/>
  <c r="G763" i="4"/>
  <c r="H763" i="4"/>
  <c r="D764" i="4"/>
  <c r="E764" i="4"/>
  <c r="F764" i="4"/>
  <c r="G764" i="4"/>
  <c r="H764" i="4"/>
  <c r="D765" i="4"/>
  <c r="E765" i="4"/>
  <c r="F765" i="4"/>
  <c r="G765" i="4"/>
  <c r="H765" i="4"/>
  <c r="D766" i="4"/>
  <c r="E766" i="4"/>
  <c r="F766" i="4"/>
  <c r="G766" i="4"/>
  <c r="H766" i="4"/>
  <c r="D767" i="4"/>
  <c r="E767" i="4"/>
  <c r="F767" i="4"/>
  <c r="G767" i="4"/>
  <c r="H767" i="4"/>
  <c r="D583" i="4"/>
  <c r="E583" i="4"/>
  <c r="F583" i="4"/>
  <c r="G583" i="4"/>
  <c r="H583" i="4"/>
  <c r="D584" i="4"/>
  <c r="E584" i="4"/>
  <c r="F584" i="4"/>
  <c r="G584" i="4"/>
  <c r="H584" i="4"/>
  <c r="D585" i="4"/>
  <c r="E585" i="4"/>
  <c r="F585" i="4"/>
  <c r="G585" i="4"/>
  <c r="H585" i="4"/>
  <c r="D586" i="4"/>
  <c r="E586" i="4"/>
  <c r="F586" i="4"/>
  <c r="G586" i="4"/>
  <c r="H586" i="4"/>
  <c r="D587" i="4"/>
  <c r="E587" i="4"/>
  <c r="F587" i="4"/>
  <c r="G587" i="4"/>
  <c r="H587" i="4"/>
  <c r="D588" i="4"/>
  <c r="E588" i="4"/>
  <c r="F588" i="4"/>
  <c r="G588" i="4"/>
  <c r="H588" i="4"/>
  <c r="D589" i="4"/>
  <c r="E589" i="4"/>
  <c r="F589" i="4"/>
  <c r="G589" i="4"/>
  <c r="H589" i="4"/>
  <c r="D590" i="4"/>
  <c r="E590" i="4"/>
  <c r="F590" i="4"/>
  <c r="G590" i="4"/>
  <c r="H590" i="4"/>
  <c r="D591" i="4"/>
  <c r="E591" i="4"/>
  <c r="F591" i="4"/>
  <c r="G591" i="4"/>
  <c r="H591" i="4"/>
  <c r="D592" i="4"/>
  <c r="E592" i="4"/>
  <c r="F592" i="4"/>
  <c r="G592" i="4"/>
  <c r="H592" i="4"/>
  <c r="D593" i="4"/>
  <c r="E593" i="4"/>
  <c r="F593" i="4"/>
  <c r="G593" i="4"/>
  <c r="H593" i="4"/>
  <c r="D594" i="4"/>
  <c r="E594" i="4"/>
  <c r="F594" i="4"/>
  <c r="G594" i="4"/>
  <c r="H594" i="4"/>
  <c r="D595" i="4"/>
  <c r="E595" i="4"/>
  <c r="F595" i="4"/>
  <c r="G595" i="4"/>
  <c r="H595" i="4"/>
  <c r="D596" i="4"/>
  <c r="E596" i="4"/>
  <c r="F596" i="4"/>
  <c r="G596" i="4"/>
  <c r="H596" i="4"/>
  <c r="D597" i="4"/>
  <c r="E597" i="4"/>
  <c r="F597" i="4"/>
  <c r="G597" i="4"/>
  <c r="H597" i="4"/>
  <c r="D598" i="4"/>
  <c r="E598" i="4"/>
  <c r="F598" i="4"/>
  <c r="G598" i="4"/>
  <c r="H598" i="4"/>
  <c r="D599" i="4"/>
  <c r="E599" i="4"/>
  <c r="F599" i="4"/>
  <c r="G599" i="4"/>
  <c r="H599" i="4"/>
  <c r="D600" i="4"/>
  <c r="E600" i="4"/>
  <c r="F600" i="4"/>
  <c r="G600" i="4"/>
  <c r="H600" i="4"/>
  <c r="D601" i="4"/>
  <c r="E601" i="4"/>
  <c r="F601" i="4"/>
  <c r="G601" i="4"/>
  <c r="H601" i="4"/>
  <c r="D602" i="4"/>
  <c r="E602" i="4"/>
  <c r="F602" i="4"/>
  <c r="G602" i="4"/>
  <c r="H602" i="4"/>
  <c r="D603" i="4"/>
  <c r="E603" i="4"/>
  <c r="F603" i="4"/>
  <c r="G603" i="4"/>
  <c r="H603" i="4"/>
  <c r="D604" i="4"/>
  <c r="E604" i="4"/>
  <c r="F604" i="4"/>
  <c r="G604" i="4"/>
  <c r="H604" i="4"/>
  <c r="D605" i="4"/>
  <c r="E605" i="4"/>
  <c r="F605" i="4"/>
  <c r="G605" i="4"/>
  <c r="H605" i="4"/>
  <c r="D606" i="4"/>
  <c r="E606" i="4"/>
  <c r="F606" i="4"/>
  <c r="G606" i="4"/>
  <c r="H606" i="4"/>
  <c r="D607" i="4"/>
  <c r="E607" i="4"/>
  <c r="F607" i="4"/>
  <c r="G607" i="4"/>
  <c r="H607" i="4"/>
  <c r="D608" i="4"/>
  <c r="E608" i="4"/>
  <c r="F608" i="4"/>
  <c r="G608" i="4"/>
  <c r="H608" i="4"/>
  <c r="D609" i="4"/>
  <c r="E609" i="4"/>
  <c r="F609" i="4"/>
  <c r="G609" i="4"/>
  <c r="H609" i="4"/>
  <c r="D610" i="4"/>
  <c r="E610" i="4"/>
  <c r="F610" i="4"/>
  <c r="G610" i="4"/>
  <c r="H610" i="4"/>
  <c r="D611" i="4"/>
  <c r="E611" i="4"/>
  <c r="F611" i="4"/>
  <c r="G611" i="4"/>
  <c r="H611" i="4"/>
  <c r="D612" i="4"/>
  <c r="E612" i="4"/>
  <c r="F612" i="4"/>
  <c r="G612" i="4"/>
  <c r="H612" i="4"/>
  <c r="D613" i="4"/>
  <c r="E613" i="4"/>
  <c r="F613" i="4"/>
  <c r="G613" i="4"/>
  <c r="H613" i="4"/>
  <c r="D614" i="4"/>
  <c r="E614" i="4"/>
  <c r="F614" i="4"/>
  <c r="G614" i="4"/>
  <c r="H614" i="4"/>
  <c r="D615" i="4"/>
  <c r="E615" i="4"/>
  <c r="F615" i="4"/>
  <c r="G615" i="4"/>
  <c r="H615" i="4"/>
  <c r="D616" i="4"/>
  <c r="E616" i="4"/>
  <c r="F616" i="4"/>
  <c r="G616" i="4"/>
  <c r="H616" i="4"/>
  <c r="D617" i="4"/>
  <c r="E617" i="4"/>
  <c r="F617" i="4"/>
  <c r="G617" i="4"/>
  <c r="H617" i="4"/>
  <c r="D618" i="4"/>
  <c r="E618" i="4"/>
  <c r="F618" i="4"/>
  <c r="G618" i="4"/>
  <c r="H618" i="4"/>
  <c r="D619" i="4"/>
  <c r="E619" i="4"/>
  <c r="F619" i="4"/>
  <c r="G619" i="4"/>
  <c r="H619" i="4"/>
  <c r="D620" i="4"/>
  <c r="E620" i="4"/>
  <c r="F620" i="4"/>
  <c r="G620" i="4"/>
  <c r="H620" i="4"/>
  <c r="D621" i="4"/>
  <c r="E621" i="4"/>
  <c r="F621" i="4"/>
  <c r="G621" i="4"/>
  <c r="H621" i="4"/>
  <c r="M16" i="10"/>
  <c r="L43" i="10" s="1"/>
  <c r="H346" i="4"/>
  <c r="G346" i="4"/>
  <c r="F346" i="4"/>
  <c r="E346" i="4"/>
  <c r="J43" i="10" s="1"/>
  <c r="D346" i="4"/>
  <c r="K31" i="10"/>
  <c r="I31" i="10"/>
  <c r="D370" i="4"/>
  <c r="E370" i="4"/>
  <c r="F370" i="4"/>
  <c r="G370" i="4"/>
  <c r="H370" i="4"/>
  <c r="D371" i="4"/>
  <c r="E371" i="4"/>
  <c r="F371" i="4"/>
  <c r="G371" i="4"/>
  <c r="H371" i="4"/>
  <c r="D372" i="4"/>
  <c r="E372" i="4"/>
  <c r="F372" i="4"/>
  <c r="G372" i="4"/>
  <c r="H372" i="4"/>
  <c r="D373" i="4"/>
  <c r="E373" i="4"/>
  <c r="F373" i="4"/>
  <c r="G373" i="4"/>
  <c r="H373" i="4"/>
  <c r="D374" i="4"/>
  <c r="E374" i="4"/>
  <c r="F374" i="4"/>
  <c r="G374" i="4"/>
  <c r="H374" i="4"/>
  <c r="D375" i="4"/>
  <c r="E375" i="4"/>
  <c r="F375" i="4"/>
  <c r="G375" i="4"/>
  <c r="H375" i="4"/>
  <c r="D376" i="4"/>
  <c r="E376" i="4"/>
  <c r="F376" i="4"/>
  <c r="G376" i="4"/>
  <c r="H376" i="4"/>
  <c r="D377" i="4"/>
  <c r="E377" i="4"/>
  <c r="F377" i="4"/>
  <c r="G377" i="4"/>
  <c r="H377" i="4"/>
  <c r="D378" i="4"/>
  <c r="E378" i="4"/>
  <c r="F378" i="4"/>
  <c r="G378" i="4"/>
  <c r="H378" i="4"/>
  <c r="D379" i="4"/>
  <c r="E379" i="4"/>
  <c r="F379" i="4"/>
  <c r="G379" i="4"/>
  <c r="H379" i="4"/>
  <c r="D380" i="4"/>
  <c r="E380" i="4"/>
  <c r="F380" i="4"/>
  <c r="G380" i="4"/>
  <c r="H380" i="4"/>
  <c r="D381" i="4"/>
  <c r="E381" i="4"/>
  <c r="F381" i="4"/>
  <c r="G381" i="4"/>
  <c r="H381" i="4"/>
  <c r="D382" i="4"/>
  <c r="E382" i="4"/>
  <c r="F382" i="4"/>
  <c r="G382" i="4"/>
  <c r="H382" i="4"/>
  <c r="D383" i="4"/>
  <c r="E383" i="4"/>
  <c r="F383" i="4"/>
  <c r="G383" i="4"/>
  <c r="H383" i="4"/>
  <c r="D384" i="4"/>
  <c r="E384" i="4"/>
  <c r="F384" i="4"/>
  <c r="G384" i="4"/>
  <c r="H384" i="4"/>
  <c r="D385" i="4"/>
  <c r="E385" i="4"/>
  <c r="F385" i="4"/>
  <c r="G385" i="4"/>
  <c r="H385" i="4"/>
  <c r="D386" i="4"/>
  <c r="E386" i="4"/>
  <c r="F386" i="4"/>
  <c r="G386" i="4"/>
  <c r="H386" i="4"/>
  <c r="D387" i="4"/>
  <c r="E387" i="4"/>
  <c r="F387" i="4"/>
  <c r="G387" i="4"/>
  <c r="H387" i="4"/>
  <c r="D388" i="4"/>
  <c r="E388" i="4"/>
  <c r="F388" i="4"/>
  <c r="G388" i="4"/>
  <c r="H388" i="4"/>
  <c r="D389" i="4"/>
  <c r="E389" i="4"/>
  <c r="F389" i="4"/>
  <c r="G389" i="4"/>
  <c r="H389" i="4"/>
  <c r="D390" i="4"/>
  <c r="E390" i="4"/>
  <c r="F390" i="4"/>
  <c r="G390" i="4"/>
  <c r="H390" i="4"/>
  <c r="D391" i="4"/>
  <c r="E391" i="4"/>
  <c r="F391" i="4"/>
  <c r="G391" i="4"/>
  <c r="H391" i="4"/>
  <c r="D392" i="4"/>
  <c r="E392" i="4"/>
  <c r="F392" i="4"/>
  <c r="G392" i="4"/>
  <c r="H392" i="4"/>
  <c r="D393" i="4"/>
  <c r="E393" i="4"/>
  <c r="F393" i="4"/>
  <c r="G393" i="4"/>
  <c r="H393" i="4"/>
  <c r="D394" i="4"/>
  <c r="E394" i="4"/>
  <c r="F394" i="4"/>
  <c r="G394" i="4"/>
  <c r="H394" i="4"/>
  <c r="D395" i="4"/>
  <c r="E395" i="4"/>
  <c r="F395" i="4"/>
  <c r="G395" i="4"/>
  <c r="H395" i="4"/>
  <c r="D396" i="4"/>
  <c r="E396" i="4"/>
  <c r="F396" i="4"/>
  <c r="G396" i="4"/>
  <c r="H396" i="4"/>
  <c r="D397" i="4"/>
  <c r="E397" i="4"/>
  <c r="F397" i="4"/>
  <c r="G397" i="4"/>
  <c r="H397" i="4"/>
  <c r="D398" i="4"/>
  <c r="E398" i="4"/>
  <c r="F398" i="4"/>
  <c r="G398" i="4"/>
  <c r="H398" i="4"/>
  <c r="D399" i="4"/>
  <c r="E399" i="4"/>
  <c r="F399" i="4"/>
  <c r="G399" i="4"/>
  <c r="H399" i="4"/>
  <c r="D400" i="4"/>
  <c r="E400" i="4"/>
  <c r="F400" i="4"/>
  <c r="G400" i="4"/>
  <c r="H400" i="4"/>
  <c r="D401" i="4"/>
  <c r="E401" i="4"/>
  <c r="F401" i="4"/>
  <c r="G401" i="4"/>
  <c r="H401" i="4"/>
  <c r="D402" i="4"/>
  <c r="E402" i="4"/>
  <c r="F402" i="4"/>
  <c r="G402" i="4"/>
  <c r="H402" i="4"/>
  <c r="D403" i="4"/>
  <c r="E403" i="4"/>
  <c r="F403" i="4"/>
  <c r="G403" i="4"/>
  <c r="H403" i="4"/>
  <c r="D404" i="4"/>
  <c r="E404" i="4"/>
  <c r="F404" i="4"/>
  <c r="G404" i="4"/>
  <c r="H404" i="4"/>
  <c r="D405" i="4"/>
  <c r="E405" i="4"/>
  <c r="F405" i="4"/>
  <c r="G405" i="4"/>
  <c r="H405" i="4"/>
  <c r="D406" i="4"/>
  <c r="E406" i="4"/>
  <c r="F406" i="4"/>
  <c r="G406" i="4"/>
  <c r="H406" i="4"/>
  <c r="D407" i="4"/>
  <c r="E407" i="4"/>
  <c r="F407" i="4"/>
  <c r="G407" i="4"/>
  <c r="H407" i="4"/>
  <c r="D408" i="4"/>
  <c r="E408" i="4"/>
  <c r="F408" i="4"/>
  <c r="G408" i="4"/>
  <c r="H408" i="4"/>
  <c r="J36" i="12"/>
  <c r="K36" i="12"/>
  <c r="L36" i="12"/>
  <c r="M36" i="12"/>
  <c r="I36" i="12"/>
  <c r="M36" i="10"/>
  <c r="L36" i="10"/>
  <c r="K36" i="10"/>
  <c r="J36" i="10"/>
  <c r="I36" i="10"/>
  <c r="D627" i="4"/>
  <c r="I48" i="12" s="1"/>
  <c r="E627" i="4"/>
  <c r="J48" i="12" s="1"/>
  <c r="F627" i="4"/>
  <c r="K48" i="12" s="1"/>
  <c r="G627" i="4"/>
  <c r="L48" i="12" s="1"/>
  <c r="H627" i="4"/>
  <c r="M48" i="12" s="1"/>
  <c r="D414" i="4"/>
  <c r="I48" i="10" s="1"/>
  <c r="E414" i="4"/>
  <c r="J48" i="10" s="1"/>
  <c r="F414" i="4"/>
  <c r="K48" i="10" s="1"/>
  <c r="G414" i="4"/>
  <c r="L48" i="10" s="1"/>
  <c r="H414" i="4"/>
  <c r="M48" i="10" s="1"/>
  <c r="D200" i="4"/>
  <c r="E200" i="4"/>
  <c r="M35" i="8"/>
  <c r="L35" i="8"/>
  <c r="K35" i="8"/>
  <c r="J35" i="8"/>
  <c r="I35" i="8"/>
  <c r="F18" i="18"/>
  <c r="H14" i="18"/>
  <c r="H12" i="18"/>
  <c r="M18" i="2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409" i="4"/>
  <c r="D410" i="4"/>
  <c r="D411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H626" i="4"/>
  <c r="M47" i="12" s="1"/>
  <c r="G626" i="4"/>
  <c r="F626" i="4"/>
  <c r="E626" i="4"/>
  <c r="J47" i="12" s="1"/>
  <c r="D626" i="4"/>
  <c r="I47" i="12" s="1"/>
  <c r="C626" i="4"/>
  <c r="H625" i="4"/>
  <c r="G625" i="4"/>
  <c r="L46" i="12" s="1"/>
  <c r="F625" i="4"/>
  <c r="K46" i="12" s="1"/>
  <c r="E625" i="4"/>
  <c r="J46" i="12" s="1"/>
  <c r="D625" i="4"/>
  <c r="C625" i="4"/>
  <c r="H624" i="4"/>
  <c r="G624" i="4"/>
  <c r="F624" i="4"/>
  <c r="E624" i="4"/>
  <c r="D624" i="4"/>
  <c r="C624" i="4"/>
  <c r="H623" i="4"/>
  <c r="G623" i="4"/>
  <c r="F623" i="4"/>
  <c r="E623" i="4"/>
  <c r="D623" i="4"/>
  <c r="C623" i="4"/>
  <c r="H622" i="4"/>
  <c r="G622" i="4"/>
  <c r="F622" i="4"/>
  <c r="E622" i="4"/>
  <c r="D622" i="4"/>
  <c r="C622" i="4"/>
  <c r="H582" i="4"/>
  <c r="G582" i="4"/>
  <c r="F582" i="4"/>
  <c r="E582" i="4"/>
  <c r="D582" i="4"/>
  <c r="C582" i="4"/>
  <c r="H581" i="4"/>
  <c r="G581" i="4"/>
  <c r="F581" i="4"/>
  <c r="E581" i="4"/>
  <c r="D581" i="4"/>
  <c r="C581" i="4"/>
  <c r="C580" i="4"/>
  <c r="H579" i="4"/>
  <c r="G579" i="4"/>
  <c r="F579" i="4"/>
  <c r="E579" i="4"/>
  <c r="D579" i="4"/>
  <c r="C579" i="4"/>
  <c r="H578" i="4"/>
  <c r="G578" i="4"/>
  <c r="F578" i="4"/>
  <c r="E578" i="4"/>
  <c r="D578" i="4"/>
  <c r="C578" i="4"/>
  <c r="H577" i="4"/>
  <c r="G577" i="4"/>
  <c r="F577" i="4"/>
  <c r="E577" i="4"/>
  <c r="D577" i="4"/>
  <c r="C577" i="4"/>
  <c r="H576" i="4"/>
  <c r="G576" i="4"/>
  <c r="F576" i="4"/>
  <c r="E576" i="4"/>
  <c r="D576" i="4"/>
  <c r="C576" i="4"/>
  <c r="H575" i="4"/>
  <c r="G575" i="4"/>
  <c r="F575" i="4"/>
  <c r="E575" i="4"/>
  <c r="D575" i="4"/>
  <c r="C575" i="4"/>
  <c r="H574" i="4"/>
  <c r="G574" i="4"/>
  <c r="F574" i="4"/>
  <c r="E574" i="4"/>
  <c r="D574" i="4"/>
  <c r="C574" i="4"/>
  <c r="H573" i="4"/>
  <c r="G573" i="4"/>
  <c r="F573" i="4"/>
  <c r="E573" i="4"/>
  <c r="D573" i="4"/>
  <c r="C573" i="4"/>
  <c r="H572" i="4"/>
  <c r="G572" i="4"/>
  <c r="F572" i="4"/>
  <c r="E572" i="4"/>
  <c r="D572" i="4"/>
  <c r="C572" i="4"/>
  <c r="H571" i="4"/>
  <c r="G571" i="4"/>
  <c r="F571" i="4"/>
  <c r="E571" i="4"/>
  <c r="D571" i="4"/>
  <c r="C571" i="4"/>
  <c r="H570" i="4"/>
  <c r="G570" i="4"/>
  <c r="F570" i="4"/>
  <c r="E570" i="4"/>
  <c r="D570" i="4"/>
  <c r="C570" i="4"/>
  <c r="H569" i="4"/>
  <c r="G569" i="4"/>
  <c r="F569" i="4"/>
  <c r="E569" i="4"/>
  <c r="D569" i="4"/>
  <c r="C569" i="4"/>
  <c r="H568" i="4"/>
  <c r="G568" i="4"/>
  <c r="F568" i="4"/>
  <c r="E568" i="4"/>
  <c r="D568" i="4"/>
  <c r="C568" i="4"/>
  <c r="H567" i="4"/>
  <c r="G567" i="4"/>
  <c r="F567" i="4"/>
  <c r="E567" i="4"/>
  <c r="D567" i="4"/>
  <c r="C567" i="4"/>
  <c r="H566" i="4"/>
  <c r="G566" i="4"/>
  <c r="F566" i="4"/>
  <c r="E566" i="4"/>
  <c r="D566" i="4"/>
  <c r="C566" i="4"/>
  <c r="H565" i="4"/>
  <c r="G565" i="4"/>
  <c r="F565" i="4"/>
  <c r="E565" i="4"/>
  <c r="D565" i="4"/>
  <c r="C565" i="4"/>
  <c r="H564" i="4"/>
  <c r="G564" i="4"/>
  <c r="F564" i="4"/>
  <c r="E564" i="4"/>
  <c r="D564" i="4"/>
  <c r="C564" i="4"/>
  <c r="H563" i="4"/>
  <c r="G563" i="4"/>
  <c r="F563" i="4"/>
  <c r="E563" i="4"/>
  <c r="D563" i="4"/>
  <c r="C563" i="4"/>
  <c r="H562" i="4"/>
  <c r="G562" i="4"/>
  <c r="F562" i="4"/>
  <c r="E562" i="4"/>
  <c r="D562" i="4"/>
  <c r="C562" i="4"/>
  <c r="H561" i="4"/>
  <c r="G561" i="4"/>
  <c r="F561" i="4"/>
  <c r="E561" i="4"/>
  <c r="D561" i="4"/>
  <c r="C561" i="4"/>
  <c r="H560" i="4"/>
  <c r="G560" i="4"/>
  <c r="F560" i="4"/>
  <c r="E560" i="4"/>
  <c r="D560" i="4"/>
  <c r="C560" i="4"/>
  <c r="C559" i="4"/>
  <c r="M16" i="11"/>
  <c r="L31" i="11" s="1"/>
  <c r="J18" i="13"/>
  <c r="M34" i="13"/>
  <c r="M35" i="13"/>
  <c r="L34" i="13"/>
  <c r="L35" i="13"/>
  <c r="K34" i="13"/>
  <c r="K35" i="13"/>
  <c r="J33" i="13"/>
  <c r="J34" i="13"/>
  <c r="J35" i="13"/>
  <c r="I34" i="13"/>
  <c r="I35" i="13"/>
  <c r="J18" i="12"/>
  <c r="J33" i="12"/>
  <c r="M34" i="12"/>
  <c r="M35" i="12"/>
  <c r="L34" i="12"/>
  <c r="L35" i="12"/>
  <c r="K34" i="12"/>
  <c r="K35" i="12"/>
  <c r="J34" i="12"/>
  <c r="J35" i="12"/>
  <c r="I34" i="12"/>
  <c r="I35" i="12"/>
  <c r="J18" i="11"/>
  <c r="M34" i="11"/>
  <c r="M35" i="11"/>
  <c r="L34" i="11"/>
  <c r="L35" i="11"/>
  <c r="K34" i="11"/>
  <c r="K35" i="11"/>
  <c r="J33" i="11"/>
  <c r="J34" i="11"/>
  <c r="J35" i="11"/>
  <c r="I31" i="11"/>
  <c r="I34" i="11"/>
  <c r="I35" i="11"/>
  <c r="J18" i="10"/>
  <c r="M33" i="10" s="1"/>
  <c r="M34" i="10"/>
  <c r="M35" i="10"/>
  <c r="L34" i="10"/>
  <c r="L35" i="10"/>
  <c r="K34" i="10"/>
  <c r="K35" i="10"/>
  <c r="J34" i="10"/>
  <c r="J35" i="10"/>
  <c r="I34" i="10"/>
  <c r="I35" i="10"/>
  <c r="M16" i="8"/>
  <c r="I31" i="8" s="1"/>
  <c r="J18" i="8"/>
  <c r="I44" i="8" s="1"/>
  <c r="M34" i="8"/>
  <c r="L34" i="8"/>
  <c r="K34" i="8"/>
  <c r="J34" i="8"/>
  <c r="I34" i="8"/>
  <c r="M16" i="2"/>
  <c r="J41" i="2" s="1"/>
  <c r="J18" i="2"/>
  <c r="J43" i="2" s="1"/>
  <c r="M34" i="2"/>
  <c r="L34" i="2"/>
  <c r="K34" i="2"/>
  <c r="J34" i="2"/>
  <c r="I34" i="2"/>
  <c r="C14" i="15"/>
  <c r="C16" i="15"/>
  <c r="E18" i="15"/>
  <c r="H18" i="15"/>
  <c r="A20" i="15"/>
  <c r="E20" i="15"/>
  <c r="H20" i="15"/>
  <c r="D710" i="4"/>
  <c r="E710" i="4"/>
  <c r="F710" i="4"/>
  <c r="G710" i="4"/>
  <c r="H710" i="4"/>
  <c r="D709" i="4"/>
  <c r="E709" i="4"/>
  <c r="F709" i="4"/>
  <c r="G709" i="4"/>
  <c r="H709" i="4"/>
  <c r="J16" i="11"/>
  <c r="J16" i="10"/>
  <c r="M44" i="10" s="1"/>
  <c r="J16" i="8"/>
  <c r="H12" i="2"/>
  <c r="J16" i="2"/>
  <c r="H772" i="4"/>
  <c r="G772" i="4"/>
  <c r="F772" i="4"/>
  <c r="E772" i="4"/>
  <c r="D772" i="4"/>
  <c r="H771" i="4"/>
  <c r="G771" i="4"/>
  <c r="F771" i="4"/>
  <c r="E771" i="4"/>
  <c r="D771" i="4"/>
  <c r="C772" i="4"/>
  <c r="C771" i="4"/>
  <c r="H12" i="13"/>
  <c r="H14" i="13"/>
  <c r="F18" i="13"/>
  <c r="L47" i="12"/>
  <c r="K47" i="12"/>
  <c r="M46" i="12"/>
  <c r="I46" i="12"/>
  <c r="H12" i="12"/>
  <c r="H14" i="12"/>
  <c r="F18" i="12"/>
  <c r="M18" i="11"/>
  <c r="H457" i="4"/>
  <c r="H458" i="4"/>
  <c r="G457" i="4"/>
  <c r="G458" i="4"/>
  <c r="F457" i="4"/>
  <c r="F458" i="4"/>
  <c r="E457" i="4"/>
  <c r="E458" i="4"/>
  <c r="H481" i="4"/>
  <c r="M45" i="11"/>
  <c r="G481" i="4"/>
  <c r="L45" i="11"/>
  <c r="F481" i="4"/>
  <c r="K45" i="11"/>
  <c r="E481" i="4"/>
  <c r="J45" i="11"/>
  <c r="D481" i="4"/>
  <c r="I45" i="11"/>
  <c r="H480" i="4"/>
  <c r="M44" i="11"/>
  <c r="G480" i="4"/>
  <c r="L44" i="11"/>
  <c r="F480" i="4"/>
  <c r="K44" i="11"/>
  <c r="E480" i="4"/>
  <c r="J44" i="11"/>
  <c r="D480" i="4"/>
  <c r="I44" i="11"/>
  <c r="C481" i="4"/>
  <c r="C480" i="4"/>
  <c r="C457" i="4"/>
  <c r="C458" i="4"/>
  <c r="H12" i="11"/>
  <c r="H14" i="11"/>
  <c r="F18" i="11"/>
  <c r="M18" i="10"/>
  <c r="H350" i="4"/>
  <c r="H351" i="4"/>
  <c r="G350" i="4"/>
  <c r="G351" i="4"/>
  <c r="F350" i="4"/>
  <c r="F351" i="4"/>
  <c r="E350" i="4"/>
  <c r="E351" i="4"/>
  <c r="H413" i="4"/>
  <c r="M46" i="8" s="1"/>
  <c r="M47" i="10"/>
  <c r="G413" i="4"/>
  <c r="L46" i="8" s="1"/>
  <c r="L47" i="10"/>
  <c r="F413" i="4"/>
  <c r="K46" i="8" s="1"/>
  <c r="K47" i="10"/>
  <c r="E413" i="4"/>
  <c r="J46" i="8" s="1"/>
  <c r="J47" i="10"/>
  <c r="D413" i="4"/>
  <c r="I46" i="8" s="1"/>
  <c r="I47" i="10"/>
  <c r="H412" i="4"/>
  <c r="M46" i="10"/>
  <c r="G412" i="4"/>
  <c r="L46" i="10"/>
  <c r="F412" i="4"/>
  <c r="K46" i="10"/>
  <c r="E412" i="4"/>
  <c r="J46" i="10"/>
  <c r="D412" i="4"/>
  <c r="I46" i="10"/>
  <c r="C413" i="4"/>
  <c r="C412" i="4"/>
  <c r="C350" i="4"/>
  <c r="C351" i="4"/>
  <c r="H12" i="10"/>
  <c r="H14" i="10"/>
  <c r="F18" i="10"/>
  <c r="H244" i="4"/>
  <c r="H245" i="4"/>
  <c r="G244" i="4"/>
  <c r="G245" i="4"/>
  <c r="F244" i="4"/>
  <c r="F245" i="4"/>
  <c r="E244" i="4"/>
  <c r="E245" i="4"/>
  <c r="D244" i="4"/>
  <c r="D245" i="4"/>
  <c r="H267" i="4"/>
  <c r="G267" i="4"/>
  <c r="F267" i="4"/>
  <c r="E267" i="4"/>
  <c r="D267" i="4"/>
  <c r="C267" i="4"/>
  <c r="C244" i="4"/>
  <c r="C245" i="4"/>
  <c r="M18" i="8"/>
  <c r="H200" i="4"/>
  <c r="M45" i="8"/>
  <c r="G200" i="4"/>
  <c r="L45" i="8"/>
  <c r="F200" i="4"/>
  <c r="K45" i="8"/>
  <c r="J45" i="8"/>
  <c r="I45" i="8"/>
  <c r="C200" i="4"/>
  <c r="H12" i="8"/>
  <c r="H14" i="8"/>
  <c r="F18" i="8"/>
  <c r="H110" i="4"/>
  <c r="H111" i="4"/>
  <c r="G110" i="4"/>
  <c r="G111" i="4"/>
  <c r="F110" i="4"/>
  <c r="F111" i="4"/>
  <c r="E110" i="4"/>
  <c r="E111" i="4"/>
  <c r="D110" i="4"/>
  <c r="D111" i="4"/>
  <c r="H133" i="4"/>
  <c r="G133" i="4"/>
  <c r="F133" i="4"/>
  <c r="E133" i="4"/>
  <c r="D133" i="4"/>
  <c r="C133" i="4"/>
  <c r="C110" i="4"/>
  <c r="C111" i="4"/>
  <c r="H14" i="2"/>
  <c r="H66" i="4"/>
  <c r="M44" i="2" s="1"/>
  <c r="G66" i="4"/>
  <c r="L44" i="2" s="1"/>
  <c r="F66" i="4"/>
  <c r="K44" i="2" s="1"/>
  <c r="E66" i="4"/>
  <c r="J44" i="2" s="1"/>
  <c r="D66" i="4"/>
  <c r="I44" i="2" s="1"/>
  <c r="C66" i="4"/>
  <c r="I41" i="2"/>
  <c r="K41" i="2"/>
  <c r="C67" i="4"/>
  <c r="D67" i="4"/>
  <c r="E67" i="4"/>
  <c r="F67" i="4"/>
  <c r="G67" i="4"/>
  <c r="H67" i="4"/>
  <c r="C106" i="4"/>
  <c r="D106" i="4"/>
  <c r="E106" i="4"/>
  <c r="F106" i="4"/>
  <c r="G106" i="4"/>
  <c r="H106" i="4"/>
  <c r="C107" i="4"/>
  <c r="D107" i="4"/>
  <c r="E107" i="4"/>
  <c r="F107" i="4"/>
  <c r="G107" i="4"/>
  <c r="H107" i="4"/>
  <c r="C108" i="4"/>
  <c r="D108" i="4"/>
  <c r="E108" i="4"/>
  <c r="F108" i="4"/>
  <c r="G108" i="4"/>
  <c r="H108" i="4"/>
  <c r="C109" i="4"/>
  <c r="D109" i="4"/>
  <c r="E109" i="4"/>
  <c r="F109" i="4"/>
  <c r="G109" i="4"/>
  <c r="H109" i="4"/>
  <c r="C112" i="4"/>
  <c r="D112" i="4"/>
  <c r="E112" i="4"/>
  <c r="F112" i="4"/>
  <c r="G112" i="4"/>
  <c r="H112" i="4"/>
  <c r="C113" i="4"/>
  <c r="D113" i="4"/>
  <c r="E113" i="4"/>
  <c r="F113" i="4"/>
  <c r="G113" i="4"/>
  <c r="H113" i="4"/>
  <c r="C114" i="4"/>
  <c r="D114" i="4"/>
  <c r="E114" i="4"/>
  <c r="F114" i="4"/>
  <c r="G114" i="4"/>
  <c r="H114" i="4"/>
  <c r="C115" i="4"/>
  <c r="D115" i="4"/>
  <c r="E115" i="4"/>
  <c r="F115" i="4"/>
  <c r="G115" i="4"/>
  <c r="H115" i="4"/>
  <c r="C116" i="4"/>
  <c r="D116" i="4"/>
  <c r="E116" i="4"/>
  <c r="F116" i="4"/>
  <c r="G116" i="4"/>
  <c r="H116" i="4"/>
  <c r="C117" i="4"/>
  <c r="D117" i="4"/>
  <c r="E117" i="4"/>
  <c r="F117" i="4"/>
  <c r="G117" i="4"/>
  <c r="H117" i="4"/>
  <c r="C118" i="4"/>
  <c r="D118" i="4"/>
  <c r="E118" i="4"/>
  <c r="F118" i="4"/>
  <c r="G118" i="4"/>
  <c r="H118" i="4"/>
  <c r="C119" i="4"/>
  <c r="D119" i="4"/>
  <c r="E119" i="4"/>
  <c r="F119" i="4"/>
  <c r="G119" i="4"/>
  <c r="H119" i="4"/>
  <c r="C120" i="4"/>
  <c r="D120" i="4"/>
  <c r="E120" i="4"/>
  <c r="F120" i="4"/>
  <c r="G120" i="4"/>
  <c r="H120" i="4"/>
  <c r="C121" i="4"/>
  <c r="D121" i="4"/>
  <c r="E121" i="4"/>
  <c r="F121" i="4"/>
  <c r="G121" i="4"/>
  <c r="H121" i="4"/>
  <c r="C122" i="4"/>
  <c r="D122" i="4"/>
  <c r="E122" i="4"/>
  <c r="F122" i="4"/>
  <c r="G122" i="4"/>
  <c r="H122" i="4"/>
  <c r="C123" i="4"/>
  <c r="D123" i="4"/>
  <c r="E123" i="4"/>
  <c r="F123" i="4"/>
  <c r="G123" i="4"/>
  <c r="H123" i="4"/>
  <c r="C124" i="4"/>
  <c r="D124" i="4"/>
  <c r="E124" i="4"/>
  <c r="F124" i="4"/>
  <c r="G124" i="4"/>
  <c r="H124" i="4"/>
  <c r="C125" i="4"/>
  <c r="D125" i="4"/>
  <c r="E125" i="4"/>
  <c r="F125" i="4"/>
  <c r="G125" i="4"/>
  <c r="H125" i="4"/>
  <c r="C126" i="4"/>
  <c r="D126" i="4"/>
  <c r="E126" i="4"/>
  <c r="F126" i="4"/>
  <c r="G126" i="4"/>
  <c r="H126" i="4"/>
  <c r="C127" i="4"/>
  <c r="D127" i="4"/>
  <c r="E127" i="4"/>
  <c r="F127" i="4"/>
  <c r="G127" i="4"/>
  <c r="H127" i="4"/>
  <c r="C128" i="4"/>
  <c r="D128" i="4"/>
  <c r="E128" i="4"/>
  <c r="F128" i="4"/>
  <c r="G128" i="4"/>
  <c r="H128" i="4"/>
  <c r="C129" i="4"/>
  <c r="D129" i="4"/>
  <c r="E129" i="4"/>
  <c r="F129" i="4"/>
  <c r="G129" i="4"/>
  <c r="H129" i="4"/>
  <c r="C130" i="4"/>
  <c r="D130" i="4"/>
  <c r="E130" i="4"/>
  <c r="F130" i="4"/>
  <c r="G130" i="4"/>
  <c r="H130" i="4"/>
  <c r="C131" i="4"/>
  <c r="D131" i="4"/>
  <c r="E131" i="4"/>
  <c r="F131" i="4"/>
  <c r="G131" i="4"/>
  <c r="H131" i="4"/>
  <c r="C132" i="4"/>
  <c r="D132" i="4"/>
  <c r="E132" i="4"/>
  <c r="F132" i="4"/>
  <c r="G132" i="4"/>
  <c r="H132" i="4"/>
  <c r="C134" i="4"/>
  <c r="D134" i="4"/>
  <c r="E134" i="4"/>
  <c r="F134" i="4"/>
  <c r="G134" i="4"/>
  <c r="H134" i="4"/>
  <c r="L42" i="8"/>
  <c r="M43" i="8"/>
  <c r="K44" i="8"/>
  <c r="C201" i="4"/>
  <c r="D201" i="4"/>
  <c r="E201" i="4"/>
  <c r="F201" i="4"/>
  <c r="G201" i="4"/>
  <c r="H201" i="4"/>
  <c r="C240" i="4"/>
  <c r="D240" i="4"/>
  <c r="E240" i="4"/>
  <c r="F240" i="4"/>
  <c r="G240" i="4"/>
  <c r="H240" i="4"/>
  <c r="C241" i="4"/>
  <c r="D241" i="4"/>
  <c r="E241" i="4"/>
  <c r="F241" i="4"/>
  <c r="G241" i="4"/>
  <c r="H241" i="4"/>
  <c r="C242" i="4"/>
  <c r="D242" i="4"/>
  <c r="E242" i="4"/>
  <c r="F242" i="4"/>
  <c r="G242" i="4"/>
  <c r="H242" i="4"/>
  <c r="C243" i="4"/>
  <c r="D243" i="4"/>
  <c r="E243" i="4"/>
  <c r="F243" i="4"/>
  <c r="G243" i="4"/>
  <c r="H243" i="4"/>
  <c r="C246" i="4"/>
  <c r="D246" i="4"/>
  <c r="E246" i="4"/>
  <c r="F246" i="4"/>
  <c r="G246" i="4"/>
  <c r="H246" i="4"/>
  <c r="C247" i="4"/>
  <c r="D247" i="4"/>
  <c r="E247" i="4"/>
  <c r="F247" i="4"/>
  <c r="G247" i="4"/>
  <c r="H247" i="4"/>
  <c r="C248" i="4"/>
  <c r="D248" i="4"/>
  <c r="E248" i="4"/>
  <c r="F248" i="4"/>
  <c r="G248" i="4"/>
  <c r="H248" i="4"/>
  <c r="C249" i="4"/>
  <c r="D249" i="4"/>
  <c r="E249" i="4"/>
  <c r="F249" i="4"/>
  <c r="G249" i="4"/>
  <c r="H249" i="4"/>
  <c r="C250" i="4"/>
  <c r="D250" i="4"/>
  <c r="E250" i="4"/>
  <c r="F250" i="4"/>
  <c r="G250" i="4"/>
  <c r="H250" i="4"/>
  <c r="C251" i="4"/>
  <c r="D251" i="4"/>
  <c r="E251" i="4"/>
  <c r="F251" i="4"/>
  <c r="G251" i="4"/>
  <c r="H251" i="4"/>
  <c r="C252" i="4"/>
  <c r="D252" i="4"/>
  <c r="E252" i="4"/>
  <c r="F252" i="4"/>
  <c r="G252" i="4"/>
  <c r="H252" i="4"/>
  <c r="C253" i="4"/>
  <c r="D253" i="4"/>
  <c r="E253" i="4"/>
  <c r="F253" i="4"/>
  <c r="G253" i="4"/>
  <c r="H253" i="4"/>
  <c r="C254" i="4"/>
  <c r="D254" i="4"/>
  <c r="E254" i="4"/>
  <c r="F254" i="4"/>
  <c r="G254" i="4"/>
  <c r="H254" i="4"/>
  <c r="C255" i="4"/>
  <c r="D255" i="4"/>
  <c r="E255" i="4"/>
  <c r="F255" i="4"/>
  <c r="G255" i="4"/>
  <c r="H255" i="4"/>
  <c r="C256" i="4"/>
  <c r="D256" i="4"/>
  <c r="E256" i="4"/>
  <c r="F256" i="4"/>
  <c r="G256" i="4"/>
  <c r="H256" i="4"/>
  <c r="C257" i="4"/>
  <c r="D257" i="4"/>
  <c r="E257" i="4"/>
  <c r="F257" i="4"/>
  <c r="G257" i="4"/>
  <c r="H257" i="4"/>
  <c r="C258" i="4"/>
  <c r="D258" i="4"/>
  <c r="E258" i="4"/>
  <c r="F258" i="4"/>
  <c r="G258" i="4"/>
  <c r="H258" i="4"/>
  <c r="C259" i="4"/>
  <c r="D259" i="4"/>
  <c r="E259" i="4"/>
  <c r="F259" i="4"/>
  <c r="G259" i="4"/>
  <c r="H259" i="4"/>
  <c r="C260" i="4"/>
  <c r="D260" i="4"/>
  <c r="E260" i="4"/>
  <c r="F260" i="4"/>
  <c r="G260" i="4"/>
  <c r="H260" i="4"/>
  <c r="C261" i="4"/>
  <c r="D261" i="4"/>
  <c r="E261" i="4"/>
  <c r="F261" i="4"/>
  <c r="G261" i="4"/>
  <c r="H261" i="4"/>
  <c r="C262" i="4"/>
  <c r="D262" i="4"/>
  <c r="E262" i="4"/>
  <c r="F262" i="4"/>
  <c r="G262" i="4"/>
  <c r="H262" i="4"/>
  <c r="C263" i="4"/>
  <c r="D263" i="4"/>
  <c r="E263" i="4"/>
  <c r="F263" i="4"/>
  <c r="G263" i="4"/>
  <c r="H263" i="4"/>
  <c r="C264" i="4"/>
  <c r="D264" i="4"/>
  <c r="E264" i="4"/>
  <c r="F264" i="4"/>
  <c r="G264" i="4"/>
  <c r="H264" i="4"/>
  <c r="C265" i="4"/>
  <c r="D265" i="4"/>
  <c r="E265" i="4"/>
  <c r="F265" i="4"/>
  <c r="G265" i="4"/>
  <c r="H265" i="4"/>
  <c r="C266" i="4"/>
  <c r="D266" i="4"/>
  <c r="E266" i="4"/>
  <c r="F266" i="4"/>
  <c r="G266" i="4"/>
  <c r="H266" i="4"/>
  <c r="C268" i="4"/>
  <c r="D268" i="4"/>
  <c r="E268" i="4"/>
  <c r="F268" i="4"/>
  <c r="G268" i="4"/>
  <c r="H268" i="4"/>
  <c r="C346" i="4"/>
  <c r="C347" i="4"/>
  <c r="E347" i="4"/>
  <c r="F347" i="4"/>
  <c r="G347" i="4"/>
  <c r="H347" i="4"/>
  <c r="C348" i="4"/>
  <c r="E348" i="4"/>
  <c r="F348" i="4"/>
  <c r="G348" i="4"/>
  <c r="H348" i="4"/>
  <c r="C349" i="4"/>
  <c r="E349" i="4"/>
  <c r="F349" i="4"/>
  <c r="G349" i="4"/>
  <c r="H349" i="4"/>
  <c r="C352" i="4"/>
  <c r="E352" i="4"/>
  <c r="F352" i="4"/>
  <c r="G352" i="4"/>
  <c r="H352" i="4"/>
  <c r="C353" i="4"/>
  <c r="E353" i="4"/>
  <c r="F353" i="4"/>
  <c r="G353" i="4"/>
  <c r="H353" i="4"/>
  <c r="C354" i="4"/>
  <c r="E354" i="4"/>
  <c r="F354" i="4"/>
  <c r="G354" i="4"/>
  <c r="H354" i="4"/>
  <c r="C355" i="4"/>
  <c r="E355" i="4"/>
  <c r="F355" i="4"/>
  <c r="G355" i="4"/>
  <c r="H355" i="4"/>
  <c r="C356" i="4"/>
  <c r="E356" i="4"/>
  <c r="F356" i="4"/>
  <c r="G356" i="4"/>
  <c r="H356" i="4"/>
  <c r="C357" i="4"/>
  <c r="E357" i="4"/>
  <c r="F357" i="4"/>
  <c r="G357" i="4"/>
  <c r="H357" i="4"/>
  <c r="C358" i="4"/>
  <c r="E358" i="4"/>
  <c r="F358" i="4"/>
  <c r="G358" i="4"/>
  <c r="H358" i="4"/>
  <c r="C359" i="4"/>
  <c r="E359" i="4"/>
  <c r="F359" i="4"/>
  <c r="G359" i="4"/>
  <c r="H359" i="4"/>
  <c r="C360" i="4"/>
  <c r="E360" i="4"/>
  <c r="F360" i="4"/>
  <c r="G360" i="4"/>
  <c r="H360" i="4"/>
  <c r="C361" i="4"/>
  <c r="E361" i="4"/>
  <c r="F361" i="4"/>
  <c r="G361" i="4"/>
  <c r="H361" i="4"/>
  <c r="C362" i="4"/>
  <c r="E362" i="4"/>
  <c r="F362" i="4"/>
  <c r="G362" i="4"/>
  <c r="H362" i="4"/>
  <c r="C363" i="4"/>
  <c r="E363" i="4"/>
  <c r="F363" i="4"/>
  <c r="G363" i="4"/>
  <c r="H363" i="4"/>
  <c r="C364" i="4"/>
  <c r="E364" i="4"/>
  <c r="F364" i="4"/>
  <c r="G364" i="4"/>
  <c r="H364" i="4"/>
  <c r="C365" i="4"/>
  <c r="E365" i="4"/>
  <c r="F365" i="4"/>
  <c r="G365" i="4"/>
  <c r="H365" i="4"/>
  <c r="C366" i="4"/>
  <c r="E366" i="4"/>
  <c r="F366" i="4"/>
  <c r="G366" i="4"/>
  <c r="H366" i="4"/>
  <c r="C367" i="4"/>
  <c r="E367" i="4"/>
  <c r="F367" i="4"/>
  <c r="G367" i="4"/>
  <c r="H367" i="4"/>
  <c r="C368" i="4"/>
  <c r="E368" i="4"/>
  <c r="F368" i="4"/>
  <c r="G368" i="4"/>
  <c r="H368" i="4"/>
  <c r="C369" i="4"/>
  <c r="E369" i="4"/>
  <c r="F369" i="4"/>
  <c r="G369" i="4"/>
  <c r="H369" i="4"/>
  <c r="C409" i="4"/>
  <c r="E409" i="4"/>
  <c r="F409" i="4"/>
  <c r="G409" i="4"/>
  <c r="H409" i="4"/>
  <c r="C410" i="4"/>
  <c r="I45" i="10"/>
  <c r="E410" i="4"/>
  <c r="J45" i="10"/>
  <c r="F410" i="4"/>
  <c r="K45" i="10"/>
  <c r="G410" i="4"/>
  <c r="L45" i="10"/>
  <c r="H410" i="4"/>
  <c r="M45" i="10"/>
  <c r="C411" i="4"/>
  <c r="E411" i="4"/>
  <c r="F411" i="4"/>
  <c r="G411" i="4"/>
  <c r="H411" i="4"/>
  <c r="C453" i="4"/>
  <c r="E453" i="4"/>
  <c r="F453" i="4"/>
  <c r="G453" i="4"/>
  <c r="L41" i="11" s="1"/>
  <c r="H453" i="4"/>
  <c r="C454" i="4"/>
  <c r="E454" i="4"/>
  <c r="F454" i="4"/>
  <c r="G454" i="4"/>
  <c r="H454" i="4"/>
  <c r="C455" i="4"/>
  <c r="E455" i="4"/>
  <c r="F455" i="4"/>
  <c r="G455" i="4"/>
  <c r="H455" i="4"/>
  <c r="C456" i="4"/>
  <c r="E456" i="4"/>
  <c r="J42" i="11"/>
  <c r="F456" i="4"/>
  <c r="K42" i="11"/>
  <c r="G456" i="4"/>
  <c r="L42" i="11"/>
  <c r="H456" i="4"/>
  <c r="M42" i="11"/>
  <c r="C459" i="4"/>
  <c r="E459" i="4"/>
  <c r="F459" i="4"/>
  <c r="G459" i="4"/>
  <c r="H459" i="4"/>
  <c r="C460" i="4"/>
  <c r="E460" i="4"/>
  <c r="F460" i="4"/>
  <c r="G460" i="4"/>
  <c r="H460" i="4"/>
  <c r="C461" i="4"/>
  <c r="E461" i="4"/>
  <c r="F461" i="4"/>
  <c r="G461" i="4"/>
  <c r="H461" i="4"/>
  <c r="C462" i="4"/>
  <c r="E462" i="4"/>
  <c r="F462" i="4"/>
  <c r="G462" i="4"/>
  <c r="H462" i="4"/>
  <c r="C463" i="4"/>
  <c r="E463" i="4"/>
  <c r="F463" i="4"/>
  <c r="G463" i="4"/>
  <c r="H463" i="4"/>
  <c r="C464" i="4"/>
  <c r="E464" i="4"/>
  <c r="F464" i="4"/>
  <c r="G464" i="4"/>
  <c r="H464" i="4"/>
  <c r="C465" i="4"/>
  <c r="E465" i="4"/>
  <c r="F465" i="4"/>
  <c r="G465" i="4"/>
  <c r="H465" i="4"/>
  <c r="C466" i="4"/>
  <c r="E466" i="4"/>
  <c r="F466" i="4"/>
  <c r="G466" i="4"/>
  <c r="H466" i="4"/>
  <c r="C467" i="4"/>
  <c r="E467" i="4"/>
  <c r="F467" i="4"/>
  <c r="G467" i="4"/>
  <c r="H467" i="4"/>
  <c r="C468" i="4"/>
  <c r="E468" i="4"/>
  <c r="F468" i="4"/>
  <c r="G468" i="4"/>
  <c r="H468" i="4"/>
  <c r="C469" i="4"/>
  <c r="E469" i="4"/>
  <c r="F469" i="4"/>
  <c r="G469" i="4"/>
  <c r="H469" i="4"/>
  <c r="C470" i="4"/>
  <c r="E470" i="4"/>
  <c r="F470" i="4"/>
  <c r="G470" i="4"/>
  <c r="H470" i="4"/>
  <c r="C471" i="4"/>
  <c r="E471" i="4"/>
  <c r="F471" i="4"/>
  <c r="G471" i="4"/>
  <c r="H471" i="4"/>
  <c r="C472" i="4"/>
  <c r="E472" i="4"/>
  <c r="F472" i="4"/>
  <c r="G472" i="4"/>
  <c r="H472" i="4"/>
  <c r="C473" i="4"/>
  <c r="E473" i="4"/>
  <c r="F473" i="4"/>
  <c r="G473" i="4"/>
  <c r="H473" i="4"/>
  <c r="C474" i="4"/>
  <c r="E474" i="4"/>
  <c r="F474" i="4"/>
  <c r="G474" i="4"/>
  <c r="H474" i="4"/>
  <c r="C475" i="4"/>
  <c r="E475" i="4"/>
  <c r="F475" i="4"/>
  <c r="G475" i="4"/>
  <c r="H475" i="4"/>
  <c r="C476" i="4"/>
  <c r="E476" i="4"/>
  <c r="F476" i="4"/>
  <c r="G476" i="4"/>
  <c r="H476" i="4"/>
  <c r="C477" i="4"/>
  <c r="D477" i="4"/>
  <c r="E477" i="4"/>
  <c r="F477" i="4"/>
  <c r="G477" i="4"/>
  <c r="H477" i="4"/>
  <c r="C478" i="4"/>
  <c r="D478" i="4"/>
  <c r="E478" i="4"/>
  <c r="F478" i="4"/>
  <c r="G478" i="4"/>
  <c r="H478" i="4"/>
  <c r="C479" i="4"/>
  <c r="D479" i="4"/>
  <c r="E479" i="4"/>
  <c r="F479" i="4"/>
  <c r="G479" i="4"/>
  <c r="H479" i="4"/>
  <c r="I45" i="12"/>
  <c r="K45" i="12"/>
  <c r="M45" i="12"/>
  <c r="D706" i="4"/>
  <c r="E706" i="4"/>
  <c r="F706" i="4"/>
  <c r="G706" i="4"/>
  <c r="H706" i="4"/>
  <c r="D707" i="4"/>
  <c r="E707" i="4"/>
  <c r="F707" i="4"/>
  <c r="G707" i="4"/>
  <c r="H707" i="4"/>
  <c r="D708" i="4"/>
  <c r="E708" i="4"/>
  <c r="F708" i="4"/>
  <c r="G708" i="4"/>
  <c r="H708" i="4"/>
  <c r="D711" i="4"/>
  <c r="E711" i="4"/>
  <c r="F711" i="4"/>
  <c r="G711" i="4"/>
  <c r="H711" i="4"/>
  <c r="D712" i="4"/>
  <c r="E712" i="4"/>
  <c r="F712" i="4"/>
  <c r="G712" i="4"/>
  <c r="H712" i="4"/>
  <c r="D713" i="4"/>
  <c r="E713" i="4"/>
  <c r="F713" i="4"/>
  <c r="G713" i="4"/>
  <c r="H713" i="4"/>
  <c r="D714" i="4"/>
  <c r="E714" i="4"/>
  <c r="F714" i="4"/>
  <c r="G714" i="4"/>
  <c r="H714" i="4"/>
  <c r="D715" i="4"/>
  <c r="E715" i="4"/>
  <c r="F715" i="4"/>
  <c r="G715" i="4"/>
  <c r="H715" i="4"/>
  <c r="D716" i="4"/>
  <c r="E716" i="4"/>
  <c r="F716" i="4"/>
  <c r="G716" i="4"/>
  <c r="H716" i="4"/>
  <c r="D717" i="4"/>
  <c r="E717" i="4"/>
  <c r="F717" i="4"/>
  <c r="G717" i="4"/>
  <c r="H717" i="4"/>
  <c r="D718" i="4"/>
  <c r="E718" i="4"/>
  <c r="F718" i="4"/>
  <c r="G718" i="4"/>
  <c r="H718" i="4"/>
  <c r="D719" i="4"/>
  <c r="E719" i="4"/>
  <c r="F719" i="4"/>
  <c r="G719" i="4"/>
  <c r="H719" i="4"/>
  <c r="D720" i="4"/>
  <c r="E720" i="4"/>
  <c r="F720" i="4"/>
  <c r="G720" i="4"/>
  <c r="H720" i="4"/>
  <c r="D721" i="4"/>
  <c r="E721" i="4"/>
  <c r="F721" i="4"/>
  <c r="G721" i="4"/>
  <c r="H721" i="4"/>
  <c r="D722" i="4"/>
  <c r="E722" i="4"/>
  <c r="F722" i="4"/>
  <c r="G722" i="4"/>
  <c r="H722" i="4"/>
  <c r="D723" i="4"/>
  <c r="E723" i="4"/>
  <c r="F723" i="4"/>
  <c r="G723" i="4"/>
  <c r="H723" i="4"/>
  <c r="D724" i="4"/>
  <c r="E724" i="4"/>
  <c r="F724" i="4"/>
  <c r="G724" i="4"/>
  <c r="H724" i="4"/>
  <c r="D725" i="4"/>
  <c r="E725" i="4"/>
  <c r="F725" i="4"/>
  <c r="G725" i="4"/>
  <c r="H725" i="4"/>
  <c r="D727" i="4"/>
  <c r="E727" i="4"/>
  <c r="F727" i="4"/>
  <c r="G727" i="4"/>
  <c r="H727" i="4"/>
  <c r="D728" i="4"/>
  <c r="E728" i="4"/>
  <c r="F728" i="4"/>
  <c r="G728" i="4"/>
  <c r="H728" i="4"/>
  <c r="C768" i="4"/>
  <c r="D768" i="4"/>
  <c r="E768" i="4"/>
  <c r="F768" i="4"/>
  <c r="G768" i="4"/>
  <c r="H768" i="4"/>
  <c r="C769" i="4"/>
  <c r="D769" i="4"/>
  <c r="I44" i="13"/>
  <c r="E769" i="4"/>
  <c r="F769" i="4"/>
  <c r="K44" i="13"/>
  <c r="G769" i="4"/>
  <c r="H769" i="4"/>
  <c r="C770" i="4"/>
  <c r="D770" i="4"/>
  <c r="E770" i="4"/>
  <c r="F770" i="4"/>
  <c r="G770" i="4"/>
  <c r="H770" i="4"/>
  <c r="F18" i="2"/>
  <c r="M31" i="2"/>
  <c r="K31" i="2"/>
  <c r="I31" i="2"/>
  <c r="M31" i="8"/>
  <c r="J31" i="8"/>
  <c r="M33" i="11"/>
  <c r="M33" i="12"/>
  <c r="K33" i="12"/>
  <c r="I33" i="12"/>
  <c r="L45" i="12"/>
  <c r="J45" i="12"/>
  <c r="M33" i="13"/>
  <c r="K33" i="13"/>
  <c r="I33" i="13"/>
  <c r="M44" i="13"/>
  <c r="L44" i="13"/>
  <c r="J44" i="13"/>
  <c r="M31" i="11"/>
  <c r="L41" i="2"/>
  <c r="J31" i="2"/>
  <c r="L31" i="2"/>
  <c r="K31" i="8"/>
  <c r="L33" i="12"/>
  <c r="L33" i="13"/>
  <c r="L43" i="8"/>
  <c r="L32" i="8"/>
  <c r="I33" i="8"/>
  <c r="I33" i="10"/>
  <c r="K33" i="10"/>
  <c r="I32" i="8"/>
  <c r="K32" i="8"/>
  <c r="M32" i="8"/>
  <c r="K32" i="11"/>
  <c r="J32" i="8"/>
  <c r="J32" i="11"/>
  <c r="I43" i="8"/>
  <c r="I42" i="8"/>
  <c r="K43" i="8"/>
  <c r="K42" i="8"/>
  <c r="J33" i="2"/>
  <c r="I43" i="2"/>
  <c r="K43" i="2"/>
  <c r="M43" i="2"/>
  <c r="I33" i="2"/>
  <c r="L33" i="2"/>
  <c r="K33" i="2"/>
  <c r="L43" i="2"/>
  <c r="M33" i="2"/>
  <c r="K33" i="11"/>
  <c r="J43" i="11"/>
  <c r="I33" i="11"/>
  <c r="K43" i="11"/>
  <c r="L43" i="11"/>
  <c r="I43" i="11"/>
  <c r="L33" i="11"/>
  <c r="M43" i="11"/>
  <c r="M32" i="2"/>
  <c r="K32" i="2"/>
  <c r="J42" i="2"/>
  <c r="L42" i="2"/>
  <c r="K42" i="2"/>
  <c r="L32" i="2"/>
  <c r="L35" i="2" s="1"/>
  <c r="I32" i="2"/>
  <c r="I42" i="2"/>
  <c r="M42" i="2"/>
  <c r="J32" i="2"/>
  <c r="J44" i="8"/>
  <c r="J33" i="8"/>
  <c r="L32" i="11"/>
  <c r="M32" i="11"/>
  <c r="I42" i="11"/>
  <c r="I32" i="11"/>
  <c r="I36" i="11" s="1"/>
  <c r="I38" i="11" s="1"/>
  <c r="L44" i="10"/>
  <c r="J44" i="10"/>
  <c r="M32" i="10"/>
  <c r="I32" i="10"/>
  <c r="J32" i="10"/>
  <c r="J45" i="13"/>
  <c r="L45" i="13"/>
  <c r="I46" i="13"/>
  <c r="K46" i="13"/>
  <c r="K47" i="13" s="1"/>
  <c r="K49" i="13" s="1"/>
  <c r="M46" i="13"/>
  <c r="I45" i="13"/>
  <c r="K45" i="13"/>
  <c r="M45" i="13"/>
  <c r="J46" i="13"/>
  <c r="L46" i="13"/>
  <c r="J43" i="8"/>
  <c r="J47" i="13"/>
  <c r="J49" i="13" s="1"/>
  <c r="J50" i="13" s="1"/>
  <c r="L36" i="11" l="1"/>
  <c r="L38" i="11" s="1"/>
  <c r="L44" i="8"/>
  <c r="L33" i="10"/>
  <c r="L33" i="8"/>
  <c r="L36" i="8" s="1"/>
  <c r="M44" i="8"/>
  <c r="M47" i="8" s="1"/>
  <c r="K44" i="18"/>
  <c r="I33" i="18"/>
  <c r="K33" i="8"/>
  <c r="K36" i="8" s="1"/>
  <c r="K38" i="8" s="1"/>
  <c r="M33" i="8"/>
  <c r="M36" i="8" s="1"/>
  <c r="J33" i="10"/>
  <c r="I50" i="13"/>
  <c r="M42" i="8"/>
  <c r="K41" i="11"/>
  <c r="K46" i="11" s="1"/>
  <c r="J47" i="8"/>
  <c r="J49" i="8" s="1"/>
  <c r="I41" i="11"/>
  <c r="I46" i="11" s="1"/>
  <c r="I49" i="11" s="1"/>
  <c r="J31" i="11"/>
  <c r="J36" i="11" s="1"/>
  <c r="J38" i="11" s="1"/>
  <c r="J41" i="11"/>
  <c r="J46" i="11" s="1"/>
  <c r="J48" i="11" s="1"/>
  <c r="K31" i="11"/>
  <c r="K36" i="11" s="1"/>
  <c r="K38" i="11" s="1"/>
  <c r="J42" i="8"/>
  <c r="L31" i="8"/>
  <c r="M41" i="11"/>
  <c r="M31" i="10"/>
  <c r="M37" i="10" s="1"/>
  <c r="J31" i="10"/>
  <c r="L31" i="10"/>
  <c r="I43" i="10"/>
  <c r="K43" i="10"/>
  <c r="M43" i="10"/>
  <c r="I31" i="12"/>
  <c r="J31" i="12"/>
  <c r="K31" i="12"/>
  <c r="K37" i="12" s="1"/>
  <c r="L31" i="12"/>
  <c r="I43" i="12"/>
  <c r="K43" i="12"/>
  <c r="K49" i="12" s="1"/>
  <c r="M43" i="12"/>
  <c r="M49" i="12" s="1"/>
  <c r="L37" i="2"/>
  <c r="L38" i="2" s="1"/>
  <c r="G27" i="15" s="1"/>
  <c r="J35" i="2"/>
  <c r="K35" i="2"/>
  <c r="I45" i="2"/>
  <c r="I48" i="11"/>
  <c r="K47" i="8"/>
  <c r="I47" i="8"/>
  <c r="L47" i="8"/>
  <c r="L49" i="8" s="1"/>
  <c r="I49" i="12"/>
  <c r="J49" i="12"/>
  <c r="J51" i="12" s="1"/>
  <c r="L33" i="18"/>
  <c r="K45" i="2"/>
  <c r="L49" i="12"/>
  <c r="L51" i="12" s="1"/>
  <c r="K42" i="18"/>
  <c r="M42" i="18"/>
  <c r="L31" i="18"/>
  <c r="J43" i="18"/>
  <c r="K43" i="18"/>
  <c r="L43" i="18"/>
  <c r="M43" i="18"/>
  <c r="I36" i="18"/>
  <c r="I38" i="18" s="1"/>
  <c r="I39" i="18" s="1"/>
  <c r="M32" i="18"/>
  <c r="L32" i="18"/>
  <c r="M36" i="11"/>
  <c r="M38" i="11" s="1"/>
  <c r="L45" i="2"/>
  <c r="L47" i="2" s="1"/>
  <c r="I35" i="2"/>
  <c r="M35" i="2"/>
  <c r="J49" i="10"/>
  <c r="J51" i="10" s="1"/>
  <c r="L49" i="10"/>
  <c r="L51" i="10" s="1"/>
  <c r="M49" i="10"/>
  <c r="M51" i="10" s="1"/>
  <c r="K51" i="13"/>
  <c r="M41" i="2"/>
  <c r="M45" i="2" s="1"/>
  <c r="I31" i="13"/>
  <c r="K31" i="13"/>
  <c r="I42" i="18"/>
  <c r="I47" i="18" s="1"/>
  <c r="M31" i="18"/>
  <c r="K36" i="18"/>
  <c r="K38" i="18" s="1"/>
  <c r="K39" i="18" s="1"/>
  <c r="J45" i="2"/>
  <c r="L51" i="13"/>
  <c r="J44" i="18"/>
  <c r="L44" i="18"/>
  <c r="J36" i="18"/>
  <c r="J38" i="18" s="1"/>
  <c r="J39" i="18" s="1"/>
  <c r="K50" i="13"/>
  <c r="M46" i="11"/>
  <c r="M48" i="11" s="1"/>
  <c r="L46" i="11"/>
  <c r="L49" i="11" s="1"/>
  <c r="M47" i="13"/>
  <c r="M49" i="13" s="1"/>
  <c r="M50" i="13" s="1"/>
  <c r="J51" i="13"/>
  <c r="L32" i="10"/>
  <c r="L37" i="10" s="1"/>
  <c r="K32" i="10"/>
  <c r="K37" i="10" s="1"/>
  <c r="I44" i="10"/>
  <c r="K44" i="10"/>
  <c r="I32" i="13"/>
  <c r="I36" i="13" s="1"/>
  <c r="J32" i="13"/>
  <c r="J36" i="13" s="1"/>
  <c r="K32" i="13"/>
  <c r="L32" i="13"/>
  <c r="L36" i="13" s="1"/>
  <c r="M32" i="13"/>
  <c r="M36" i="13" s="1"/>
  <c r="I37" i="12"/>
  <c r="L37" i="12"/>
  <c r="J37" i="12"/>
  <c r="M37" i="12"/>
  <c r="I37" i="10"/>
  <c r="J37" i="10"/>
  <c r="I36" i="8"/>
  <c r="I38" i="8" s="1"/>
  <c r="J36" i="8"/>
  <c r="J53" i="10"/>
  <c r="L47" i="18" l="1"/>
  <c r="L49" i="18" s="1"/>
  <c r="L51" i="18" s="1"/>
  <c r="J47" i="18"/>
  <c r="J49" i="18" s="1"/>
  <c r="J51" i="18" s="1"/>
  <c r="M36" i="18"/>
  <c r="M38" i="18" s="1"/>
  <c r="M39" i="18" s="1"/>
  <c r="L36" i="18"/>
  <c r="L38" i="18" s="1"/>
  <c r="L39" i="18" s="1"/>
  <c r="L50" i="18"/>
  <c r="L53" i="12"/>
  <c r="K48" i="11"/>
  <c r="K49" i="11"/>
  <c r="I49" i="10"/>
  <c r="I51" i="10" s="1"/>
  <c r="I53" i="10" s="1"/>
  <c r="M49" i="11"/>
  <c r="J49" i="11"/>
  <c r="K49" i="10"/>
  <c r="K51" i="10" s="1"/>
  <c r="J50" i="18"/>
  <c r="J50" i="8"/>
  <c r="M47" i="18"/>
  <c r="K36" i="13"/>
  <c r="K38" i="13" s="1"/>
  <c r="K39" i="13" s="1"/>
  <c r="L49" i="2"/>
  <c r="I39" i="10"/>
  <c r="I40" i="10" s="1"/>
  <c r="D29" i="15" s="1"/>
  <c r="J38" i="8"/>
  <c r="J39" i="8" s="1"/>
  <c r="E28" i="15" s="1"/>
  <c r="M39" i="10"/>
  <c r="M40" i="10" s="1"/>
  <c r="H29" i="15" s="1"/>
  <c r="J39" i="10"/>
  <c r="J40" i="10" s="1"/>
  <c r="E29" i="15" s="1"/>
  <c r="K39" i="10"/>
  <c r="K40" i="10" s="1"/>
  <c r="F29" i="15" s="1"/>
  <c r="M49" i="8"/>
  <c r="M50" i="8" s="1"/>
  <c r="I49" i="8"/>
  <c r="I51" i="8" s="1"/>
  <c r="L38" i="8"/>
  <c r="L39" i="8" s="1"/>
  <c r="G28" i="15" s="1"/>
  <c r="M38" i="8"/>
  <c r="M39" i="8" s="1"/>
  <c r="H28" i="15" s="1"/>
  <c r="L39" i="10"/>
  <c r="L40" i="10" s="1"/>
  <c r="G29" i="15" s="1"/>
  <c r="K49" i="8"/>
  <c r="K51" i="8" s="1"/>
  <c r="L53" i="10"/>
  <c r="J47" i="2"/>
  <c r="J48" i="2" s="1"/>
  <c r="I37" i="2"/>
  <c r="I38" i="2" s="1"/>
  <c r="D27" i="15" s="1"/>
  <c r="K47" i="2"/>
  <c r="K48" i="2" s="1"/>
  <c r="I47" i="2"/>
  <c r="I48" i="2" s="1"/>
  <c r="J37" i="2"/>
  <c r="J38" i="2" s="1"/>
  <c r="E27" i="15" s="1"/>
  <c r="M37" i="2"/>
  <c r="M38" i="2" s="1"/>
  <c r="H27" i="15" s="1"/>
  <c r="K37" i="2"/>
  <c r="K38" i="2" s="1"/>
  <c r="F27" i="15" s="1"/>
  <c r="M47" i="2"/>
  <c r="M48" i="2" s="1"/>
  <c r="K39" i="12"/>
  <c r="K40" i="12" s="1"/>
  <c r="F30" i="15" s="1"/>
  <c r="J39" i="12"/>
  <c r="J40" i="12" s="1"/>
  <c r="E30" i="15" s="1"/>
  <c r="M39" i="12"/>
  <c r="M40" i="12" s="1"/>
  <c r="H30" i="15" s="1"/>
  <c r="L39" i="12"/>
  <c r="L40" i="12" s="1"/>
  <c r="G30" i="15" s="1"/>
  <c r="K51" i="12"/>
  <c r="K53" i="12" s="1"/>
  <c r="I39" i="12"/>
  <c r="I40" i="12" s="1"/>
  <c r="D30" i="15" s="1"/>
  <c r="M51" i="12"/>
  <c r="M52" i="12" s="1"/>
  <c r="I51" i="12"/>
  <c r="I52" i="12" s="1"/>
  <c r="J51" i="8"/>
  <c r="L51" i="8"/>
  <c r="L50" i="8"/>
  <c r="L48" i="11"/>
  <c r="K47" i="18"/>
  <c r="L48" i="2"/>
  <c r="I49" i="18"/>
  <c r="I51" i="18" s="1"/>
  <c r="M51" i="13"/>
  <c r="L38" i="13"/>
  <c r="L39" i="13" s="1"/>
  <c r="J38" i="13"/>
  <c r="J39" i="13" s="1"/>
  <c r="M38" i="13"/>
  <c r="M39" i="13" s="1"/>
  <c r="I38" i="13"/>
  <c r="I39" i="13" s="1"/>
  <c r="I39" i="8"/>
  <c r="D28" i="15" s="1"/>
  <c r="K39" i="8"/>
  <c r="F28" i="15" s="1"/>
  <c r="J52" i="10"/>
  <c r="J52" i="12"/>
  <c r="J53" i="12"/>
  <c r="L52" i="12"/>
  <c r="M53" i="10"/>
  <c r="K52" i="10"/>
  <c r="M52" i="10"/>
  <c r="L52" i="10"/>
  <c r="K50" i="8" l="1"/>
  <c r="K53" i="10"/>
  <c r="M49" i="18"/>
  <c r="M50" i="18" s="1"/>
  <c r="M51" i="18"/>
  <c r="I52" i="10"/>
  <c r="I50" i="8"/>
  <c r="M51" i="8"/>
  <c r="J49" i="2"/>
  <c r="K49" i="2"/>
  <c r="I49" i="2"/>
  <c r="M49" i="2"/>
  <c r="M53" i="12"/>
  <c r="I53" i="12"/>
  <c r="K52" i="12"/>
  <c r="K49" i="18"/>
  <c r="K50" i="18" s="1"/>
  <c r="I50" i="18"/>
  <c r="K51" i="18" l="1"/>
</calcChain>
</file>

<file path=xl/comments1.xml><?xml version="1.0" encoding="utf-8"?>
<comments xmlns="http://schemas.openxmlformats.org/spreadsheetml/2006/main">
  <authors>
    <author>GERENCIA GENERAL</author>
  </authors>
  <commentList>
    <comment ref="J14" authorId="0">
      <text>
        <r>
          <rPr>
            <sz val="14"/>
            <color indexed="81"/>
            <rFont val="Arial"/>
            <family val="2"/>
          </rPr>
          <t>ELEGIBILIDAD:
Hijos menores de 24 años que sean solteros y estudiantes de tiempo completo</t>
        </r>
      </text>
    </comment>
    <comment ref="G16" authorId="0">
      <text>
        <r>
          <rPr>
            <sz val="14"/>
            <color indexed="81"/>
            <rFont val="Arial"/>
            <family val="2"/>
          </rPr>
          <t xml:space="preserve">ELEGIBILIDAD:
Entre 18 y 73 años de edad
</t>
        </r>
      </text>
    </comment>
    <comment ref="J16" authorId="0">
      <text>
        <r>
          <rPr>
            <sz val="14"/>
            <color indexed="81"/>
            <rFont val="Arial"/>
            <family val="2"/>
          </rPr>
          <t xml:space="preserve">ELEGIBILIDAD:
Entre 18 y 73 años de edad
</t>
        </r>
      </text>
    </comment>
  </commentList>
</comments>
</file>

<file path=xl/sharedStrings.xml><?xml version="1.0" encoding="utf-8"?>
<sst xmlns="http://schemas.openxmlformats.org/spreadsheetml/2006/main" count="1279" uniqueCount="267">
  <si>
    <t>EDAD</t>
  </si>
  <si>
    <t>Hijos</t>
  </si>
  <si>
    <t>Transplante de organos</t>
  </si>
  <si>
    <t>Rider Comp. Maternidad</t>
  </si>
  <si>
    <t xml:space="preserve"> </t>
  </si>
  <si>
    <t>-  29</t>
  </si>
  <si>
    <t>-  34</t>
  </si>
  <si>
    <t>-  39</t>
  </si>
  <si>
    <t>-  44</t>
  </si>
  <si>
    <t>-  49</t>
  </si>
  <si>
    <t>-  54</t>
  </si>
  <si>
    <t>-  59</t>
  </si>
  <si>
    <t>o más</t>
  </si>
  <si>
    <t>Hijo</t>
  </si>
  <si>
    <t>Hijos o más</t>
  </si>
  <si>
    <t>Prima de Titular :</t>
  </si>
  <si>
    <t>Prima de Cónyuge</t>
  </si>
  <si>
    <t>Primas Hijos :</t>
  </si>
  <si>
    <t>GRAN TOTAL :</t>
  </si>
  <si>
    <t>TOTAL PRIMA NETA :</t>
  </si>
  <si>
    <t>Prima Rider Complic. Maternidad</t>
  </si>
  <si>
    <t>Costo Administrativo Anual :</t>
  </si>
  <si>
    <t>Complicaciones de Maternidad</t>
  </si>
  <si>
    <t>Prima Rider Trasplante Organos</t>
  </si>
  <si>
    <t>GRAN TOTAL  (1ra Cuota) :</t>
  </si>
  <si>
    <t>GRAN TOTAL  (2da Cuota) :</t>
  </si>
  <si>
    <t>Tarifas Semestrales</t>
  </si>
  <si>
    <t>Tarifas Anuales</t>
  </si>
  <si>
    <t>TARIFAS ANUALES</t>
  </si>
  <si>
    <t>DW1</t>
  </si>
  <si>
    <t>DW2</t>
  </si>
  <si>
    <t>DW3</t>
  </si>
  <si>
    <t>DW4</t>
  </si>
  <si>
    <t>DW5</t>
  </si>
  <si>
    <t>DW6</t>
  </si>
  <si>
    <t xml:space="preserve">TARIFAS SEMESTRALES </t>
  </si>
  <si>
    <t>DIAMOND (LATINAMERICA ONLY)</t>
  </si>
  <si>
    <t>DL1</t>
  </si>
  <si>
    <t>DL2</t>
  </si>
  <si>
    <t>DL3</t>
  </si>
  <si>
    <t>DL4</t>
  </si>
  <si>
    <t>DL5</t>
  </si>
  <si>
    <t>DL6</t>
  </si>
  <si>
    <t>CW1</t>
  </si>
  <si>
    <t>CW2</t>
  </si>
  <si>
    <t>CW3</t>
  </si>
  <si>
    <t>CW4</t>
  </si>
  <si>
    <t>CW5</t>
  </si>
  <si>
    <t>CW6</t>
  </si>
  <si>
    <t>COMPLETE (LATINAMERICA ONLY)</t>
  </si>
  <si>
    <t>CL1</t>
  </si>
  <si>
    <t>CL2</t>
  </si>
  <si>
    <t>CL3</t>
  </si>
  <si>
    <t>CL4</t>
  </si>
  <si>
    <t>CL5</t>
  </si>
  <si>
    <t>CL6</t>
  </si>
  <si>
    <t>AW1</t>
  </si>
  <si>
    <t>AW2</t>
  </si>
  <si>
    <t>AW3</t>
  </si>
  <si>
    <t>AW4</t>
  </si>
  <si>
    <t>AW5</t>
  </si>
  <si>
    <t>AW6</t>
  </si>
  <si>
    <t>ADVANTAGE (LATINAMERICA ONLY)</t>
  </si>
  <si>
    <t>AL1</t>
  </si>
  <si>
    <t>AL2</t>
  </si>
  <si>
    <t>AL3</t>
  </si>
  <si>
    <t>AL4</t>
  </si>
  <si>
    <t>AL5</t>
  </si>
  <si>
    <t>AL6</t>
  </si>
  <si>
    <t>SE1</t>
  </si>
  <si>
    <t>SE2</t>
  </si>
  <si>
    <t>SE3</t>
  </si>
  <si>
    <t>SE4</t>
  </si>
  <si>
    <t>SE5</t>
  </si>
  <si>
    <t>SE6</t>
  </si>
  <si>
    <t>ET1</t>
  </si>
  <si>
    <t>ET2</t>
  </si>
  <si>
    <t>ET3</t>
  </si>
  <si>
    <t>ET4</t>
  </si>
  <si>
    <t>ET5</t>
  </si>
  <si>
    <t>ET6</t>
  </si>
  <si>
    <t>FACTOR SEMESTRAL :</t>
  </si>
  <si>
    <t>FECHA DE COTIZACION :</t>
  </si>
  <si>
    <t>COMPLICACIONES DE MATERNIDAD</t>
  </si>
  <si>
    <t>TRASPLANTE DE ORGANOS</t>
  </si>
  <si>
    <t>PLAN 1</t>
  </si>
  <si>
    <t>PLAN 2</t>
  </si>
  <si>
    <t>PLAN 3</t>
  </si>
  <si>
    <t>PLAN 4</t>
  </si>
  <si>
    <t>PLAN 5</t>
  </si>
  <si>
    <t>PLAN 6</t>
  </si>
  <si>
    <t>Deducibles</t>
  </si>
  <si>
    <t>Cobertura Máxima anual</t>
  </si>
  <si>
    <t>Condiciones médicas cubiertas</t>
  </si>
  <si>
    <t>Redes de proveedores</t>
  </si>
  <si>
    <t>Opciones fuera de la Red</t>
  </si>
  <si>
    <t>Requiere preautorización</t>
  </si>
  <si>
    <t>Número máximo de días de hospitalización</t>
  </si>
  <si>
    <t>Habitación y alimentación</t>
  </si>
  <si>
    <t>Cuidados Intensivos</t>
  </si>
  <si>
    <t>Cobertura de Maternidad</t>
  </si>
  <si>
    <t>Cobertura Provisional de Recién Nacido</t>
  </si>
  <si>
    <t>Cuidado del Recién Nacido saludable</t>
  </si>
  <si>
    <t>Cobertura de Complicaciones de Maternidad</t>
  </si>
  <si>
    <t>Trasplante de Organos</t>
  </si>
  <si>
    <t>Condiciones congénitas y hereditarias</t>
  </si>
  <si>
    <t>Acompañamiento de menores hospitalizados</t>
  </si>
  <si>
    <t>Ambulancia aérea</t>
  </si>
  <si>
    <t>Repatriación restos mortales</t>
  </si>
  <si>
    <t>Medicamentos por receta</t>
  </si>
  <si>
    <t>Atención médica en el hogar</t>
  </si>
  <si>
    <t>Terapeuta complementario</t>
  </si>
  <si>
    <t>Cobertura de actividades peligrosas</t>
  </si>
  <si>
    <t>Chequeos generales de rutina</t>
  </si>
  <si>
    <t>Cobertura de VIH, SIDA, CAS</t>
  </si>
  <si>
    <t>Cobertura mundial</t>
  </si>
  <si>
    <t>Todas las condiciones médicas</t>
  </si>
  <si>
    <t>Sin limitación de Red de Proveedores</t>
  </si>
  <si>
    <t>Ilimitado</t>
  </si>
  <si>
    <t>de $500.000 para planes 4,5 y 6</t>
  </si>
  <si>
    <t>COTIZACION DE SEGURO MEDICO INTERNACIONAL</t>
  </si>
  <si>
    <t>1. INGRESE LOS DATOS DEL PROPUESTO ASEGURADO :</t>
  </si>
  <si>
    <t>Nombre del Asegurado principal :</t>
  </si>
  <si>
    <t xml:space="preserve">Número de adultos en la póliza : </t>
  </si>
  <si>
    <t xml:space="preserve"> Edad del titular :</t>
  </si>
  <si>
    <t>Edad de cónyuge :</t>
  </si>
  <si>
    <t>Nombre de la Agencia :</t>
  </si>
  <si>
    <t>3. ESCOJA EL PRODUCTO PARA VISUALIZAR LA COTIZACION RESPECTIVA :</t>
  </si>
  <si>
    <t>Número de hijos en la póliza :</t>
  </si>
  <si>
    <t>2. INGRESE EL NOMBRE DE LA AGENCIA ASESORA :</t>
  </si>
  <si>
    <t>$30,000 por los primeros 90 días</t>
  </si>
  <si>
    <t>Ya incluída dentro del beneficio de Maternidad</t>
  </si>
  <si>
    <t>$300 por día</t>
  </si>
  <si>
    <t>100%, máximo de 20 visitas/sesiones</t>
  </si>
  <si>
    <t>Rehabilitación</t>
  </si>
  <si>
    <t>No incluye</t>
  </si>
  <si>
    <t>Red de Proveedores "Bupa Advantage"</t>
  </si>
  <si>
    <t>NO, solo en casos de emergencia</t>
  </si>
  <si>
    <t>SI, 30% de penalización por omitir prenotificación</t>
  </si>
  <si>
    <t>Disponible a través de cobertura opcional adicional</t>
  </si>
  <si>
    <t>Complicaciones de Maternidad por $500,000</t>
  </si>
  <si>
    <t>Trasplante de órganos por $ 300,000 adicionales</t>
  </si>
  <si>
    <t>Hasta US$150 por año póliza.Sin deducible</t>
  </si>
  <si>
    <t>$15,000 por los primeros 90 días</t>
  </si>
  <si>
    <t>Si son médicamente prescritos tras una hospitalización o en relación con una cirugía ambulatoria entonces 100% por los próximos 6 meses.</t>
  </si>
  <si>
    <t>100% siempre que no sea práctica profesional</t>
  </si>
  <si>
    <t>$10,000 por los primeros 90 días</t>
  </si>
  <si>
    <t>$100 por día (Hasta $1,000 por admisión)</t>
  </si>
  <si>
    <t>100% de UCR hasta 40 sesiones por año</t>
  </si>
  <si>
    <t>AGENCIA</t>
  </si>
  <si>
    <t>PRODUCTOS</t>
  </si>
  <si>
    <t>Limitada a Latinoamérica excluyendo México</t>
  </si>
  <si>
    <t>-  24</t>
  </si>
  <si>
    <t>&lt;18 años $1,000,000 de por vida; &gt;=18 al 100%</t>
  </si>
  <si>
    <t>Cobertura extendida para dependientes en caso de muerte de asegurado principal</t>
  </si>
  <si>
    <t>2 años sin costo</t>
  </si>
  <si>
    <t>1 año sin costo</t>
  </si>
  <si>
    <t>$200 por día, hasta 60 días por año por incidente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</si>
  <si>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ADVANTAGE Care (cobertura solo Latinoamérica)</t>
    </r>
  </si>
  <si>
    <t>$5,000 (Excepto planes 4,5, y 6)</t>
  </si>
  <si>
    <t>$3,500 (Excepto planes 4,5, y 6)</t>
  </si>
  <si>
    <t>$100,000 por año y ticket aéreo de retorno</t>
  </si>
  <si>
    <t>Cobertura de brazos y piernas artificiales</t>
  </si>
  <si>
    <t>$30,000 por año y hasta $120,000 de por vida</t>
  </si>
  <si>
    <t>Solo como efecto de transfusión de sangre</t>
  </si>
  <si>
    <t>Almacenamiento de sangre de cordon umbilical</t>
  </si>
  <si>
    <t>US $ 7,000,000</t>
  </si>
  <si>
    <t>$1,000 (Excepto planes 4,5, y 6)</t>
  </si>
  <si>
    <t>US $ 3,500,000</t>
  </si>
  <si>
    <t>$500  (Excepto planes 4,5, y 6)</t>
  </si>
  <si>
    <t>&lt;18 años $300,000 de por vida; &gt;=18 al 100%</t>
  </si>
  <si>
    <t>$6,000 por Asegurado, por año póliza</t>
  </si>
  <si>
    <t>Bupa Advantage Care (cobertura solo en Latinoamérica)</t>
  </si>
  <si>
    <t>US $ 3,000,000</t>
  </si>
  <si>
    <t>&lt;18 años $150,000 de por vida; &gt;=18 al 100%</t>
  </si>
  <si>
    <t>Fuera del pais de residencia</t>
  </si>
  <si>
    <t>Dentro del pais de residencia</t>
  </si>
  <si>
    <t>n/a</t>
  </si>
  <si>
    <t>100% dentro de Red Bupa</t>
  </si>
  <si>
    <t>Coberturas opcionales (Riders)</t>
  </si>
  <si>
    <t>100% de usual/acostumbrado y razonable</t>
  </si>
  <si>
    <t>Residencia y cuidados paliativos</t>
  </si>
  <si>
    <t>No requiere preautorización; se aplicarán los precios usuales, acostumbrados y razonables</t>
  </si>
  <si>
    <t>Cobertura Geografica</t>
  </si>
  <si>
    <t>Tarifas en US $ -  Válidas desde 01 Ene 2013</t>
  </si>
  <si>
    <t>$1,000 por día fuera de la Red Bupa</t>
  </si>
  <si>
    <t>$3,000 por día fuera de la Red Bupa</t>
  </si>
  <si>
    <t>$1,500,000 de por vida, por diagnóstico</t>
  </si>
  <si>
    <t>Cobertura de actividades de alto riesgo</t>
  </si>
  <si>
    <t>"UCR" para L.A. en emergencias fuera de  Red Bupa</t>
  </si>
  <si>
    <t>$1,000,000 de por vida, por diagnóstico</t>
  </si>
  <si>
    <t>Tarifas en US $ -  Válidas desde 01 Ene 2014</t>
  </si>
  <si>
    <t>Trasplante de órganos por $ 500,000 de por vida</t>
  </si>
  <si>
    <t>IVA (12%)</t>
  </si>
  <si>
    <t>Cotización de Seguro Médico Internacional - BUPA Guatemala</t>
  </si>
  <si>
    <t>Deductible Waiver</t>
  </si>
  <si>
    <t>Prima Rider Eliminacion del Deducible</t>
  </si>
  <si>
    <t>ELIMINACION DEL DEDUCIBLE</t>
  </si>
  <si>
    <t>o mas</t>
  </si>
  <si>
    <t>Complete Care Guatemala</t>
  </si>
  <si>
    <t>Secure Care Guatemala</t>
  </si>
  <si>
    <t>$7,500 (Excepto planes 4,5 y 6)</t>
  </si>
  <si>
    <t>Solo por accidente de trabajo otransfusión de sangre</t>
  </si>
  <si>
    <t>US $ 4,000,000</t>
  </si>
  <si>
    <t>Red de proveedores Secure</t>
  </si>
  <si>
    <t>No</t>
  </si>
  <si>
    <t>Sí</t>
  </si>
  <si>
    <t>Compl. de Maternidad de $500.000 (planes 4,5 y 6)</t>
  </si>
  <si>
    <t>Procedimientos de Trasplante $500,000</t>
  </si>
  <si>
    <t>$100 por día</t>
  </si>
  <si>
    <t>$300 (máx. 90 días)</t>
  </si>
  <si>
    <t>100% (60 sesiones)</t>
  </si>
  <si>
    <t>US $ 6,000,000</t>
  </si>
  <si>
    <t>$7,000 (Excepto planes 4,5, y 6)</t>
  </si>
  <si>
    <t>2 visitas por año. $50 vacunas</t>
  </si>
  <si>
    <t xml:space="preserve">Trasplante de órganos por $ 500,000 </t>
  </si>
  <si>
    <t>Hasta US$150 por año póliza</t>
  </si>
  <si>
    <t>Solo por accidente de trabajo o  transfusión de sangre</t>
  </si>
  <si>
    <t>30%/70%</t>
  </si>
  <si>
    <t>$4,000 (Excepto planes 4,5, y 6)</t>
  </si>
  <si>
    <t>2 visitas por año/ $50 vacunas</t>
  </si>
  <si>
    <t>&lt;18 años $250,000 de por vida; &gt;=18 al 100%</t>
  </si>
  <si>
    <t>Tratamiento Ambulatorio $3,000</t>
  </si>
  <si>
    <t>US$500,000</t>
  </si>
  <si>
    <t>70% fuera de la Red Bupa</t>
  </si>
  <si>
    <t>&lt;18 años $75,000 de por vida; &gt;=18 al 100%</t>
  </si>
  <si>
    <t>Si son médicamente prescritos tras una hospitalización o en relación con una cirugía ambulatoria entonces $7,000 por los próximos 6 meses.</t>
  </si>
  <si>
    <t>Medicamentos por receta ambulatoria $1,500</t>
  </si>
  <si>
    <t>US$100,000</t>
  </si>
  <si>
    <t>Sí, 30% de penalización por omitir prenotificación</t>
  </si>
  <si>
    <t>$7,500 por los primeros 90 días</t>
  </si>
  <si>
    <t>&lt;18 años $50,000 de por vida; &gt;=18 al 100%</t>
  </si>
  <si>
    <t xml:space="preserve">$10,000 por año y ticket aéreo de retorno </t>
  </si>
  <si>
    <t>Si son médicamente prescritos tras una hospitalización o en relación con una cirugía ambulatoria entonces $6,000 por los próximos 6 meses.</t>
  </si>
  <si>
    <t>Tratamiento Ambulatorio a US$1,500</t>
  </si>
  <si>
    <t>100% de UCR hasta 30 sesiones por año</t>
  </si>
  <si>
    <t>Bupa Complete Guatemala</t>
  </si>
  <si>
    <r>
      <rPr>
        <sz val="18"/>
        <rFont val="Microsoft Sans Serif"/>
        <family val="2"/>
      </rPr>
      <t xml:space="preserve">Cotización de Seguro Médico Internacional - Bupa </t>
    </r>
    <r>
      <rPr>
        <b/>
        <sz val="18"/>
        <rFont val="Microsoft Sans Serif"/>
        <family val="2"/>
      </rPr>
      <t>Complete Guatemala</t>
    </r>
  </si>
  <si>
    <t>Bupa Secure Guatemala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</si>
  <si>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Secure Guatemala</t>
    </r>
  </si>
  <si>
    <t>Bupa Blue 500 Guatemala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</si>
  <si>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Blue 500 Guatemala</t>
    </r>
  </si>
  <si>
    <t>Bupa Blue 100 Guatemala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</si>
  <si>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Blue 100 Guatemala</t>
    </r>
  </si>
  <si>
    <t>Red de Proveedores Advantage</t>
  </si>
  <si>
    <t>Red de Proveedores Secure</t>
  </si>
  <si>
    <t>Red de Proveedores Alpha</t>
  </si>
  <si>
    <t>BUPA COMPLETE GUATEMALA</t>
  </si>
  <si>
    <t>BUPA SECURE GUATEMALA</t>
  </si>
  <si>
    <t>BUPA GOLD GUATEMALA</t>
  </si>
  <si>
    <t>BUPA SILVER GUATEMALA</t>
  </si>
  <si>
    <t>BUPA BLUE 500 GUATEMALA</t>
  </si>
  <si>
    <t>BUPA BLUE 100 GUATEMALA</t>
  </si>
  <si>
    <t>Premium Care Guatemala</t>
  </si>
  <si>
    <t>Classic Care Guatemala</t>
  </si>
  <si>
    <t>Bupa Premium Guatemala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</si>
  <si>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Premium Guatemala</t>
    </r>
  </si>
  <si>
    <t>Bupa Classic Guatemala</t>
  </si>
  <si>
    <r>
      <rPr>
        <sz val="18"/>
        <rFont val="Microsoft Sans Serif"/>
        <family val="2"/>
      </rPr>
      <t>Cotización de Seguro Médico Internacional</t>
    </r>
    <r>
      <rPr>
        <b/>
        <sz val="18"/>
        <rFont val="Microsoft Sans Serif"/>
        <family val="2"/>
      </rPr>
      <t xml:space="preserve"> - Bupa Classic Guatemala</t>
    </r>
  </si>
  <si>
    <t>Descuento O&amp;A:</t>
  </si>
  <si>
    <t>% de Descuento</t>
  </si>
  <si>
    <t>De 10 a 19</t>
  </si>
  <si>
    <t>De 20 a 49</t>
  </si>
  <si>
    <t>De 50 en Adelante</t>
  </si>
  <si>
    <t>Tabla de Descuento para O&amp;A</t>
  </si>
  <si>
    <t>Numero de Asegurados</t>
  </si>
  <si>
    <t>Edgar Lopez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</si>
</sst>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&quot;$&quot;#,##0_);[Red]\(&quot;$&quot;#,##0\)"/>
    <numFmt numFmtId="165" formatCode="_(&quot;$&quot;* #,##0.00_);_(&quot;$&quot;* \(#,##0.00\);_(&quot;$&quot;* &quot;-&quot;??_);_(@_)"/>
    <numFmt numFmtId="166" formatCode="[$-300A]d&quot; de &quot;mmmm&quot; de &quot;yyyy;@"/>
    <numFmt numFmtId="167" formatCode="[$-409]d\-m\-yy\ h:mm\ AM/PM;@"/>
    <numFmt numFmtId="168" formatCode="#,##0_ ;\-#,##0\ 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Microsoft Sans Serif"/>
      <family val="2"/>
    </font>
    <font>
      <sz val="8"/>
      <name val="Microsoft Sans Serif"/>
      <family val="2"/>
    </font>
    <font>
      <b/>
      <sz val="10"/>
      <name val="Microsoft Sans Serif"/>
      <family val="2"/>
    </font>
    <font>
      <sz val="12"/>
      <name val="Microsoft Sans Serif"/>
      <family val="2"/>
    </font>
    <font>
      <b/>
      <sz val="11"/>
      <name val="Microsoft Sans Serif"/>
      <family val="2"/>
    </font>
    <font>
      <b/>
      <sz val="18"/>
      <name val="Microsoft Sans Serif"/>
      <family val="2"/>
    </font>
    <font>
      <b/>
      <sz val="12"/>
      <name val="Microsoft Sans Serif"/>
      <family val="2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Microsoft Sans Serif"/>
      <family val="2"/>
    </font>
    <font>
      <sz val="11"/>
      <name val="Microsoft Sans Serif"/>
      <family val="2"/>
    </font>
    <font>
      <sz val="11"/>
      <color indexed="8"/>
      <name val="Microsoft Sans Serif"/>
      <family val="2"/>
    </font>
    <font>
      <b/>
      <sz val="11"/>
      <color indexed="8"/>
      <name val="Microsoft Sans Serif"/>
      <family val="2"/>
    </font>
    <font>
      <sz val="14"/>
      <name val="Microsoft Sans Serif"/>
      <family val="2"/>
    </font>
    <font>
      <b/>
      <sz val="14"/>
      <name val="Microsoft Sans Serif"/>
      <family val="2"/>
    </font>
    <font>
      <b/>
      <sz val="20"/>
      <name val="Microsoft Sans Serif"/>
      <family val="2"/>
    </font>
    <font>
      <sz val="14"/>
      <color indexed="81"/>
      <name val="Arial"/>
      <family val="2"/>
    </font>
    <font>
      <sz val="18"/>
      <name val="Microsoft Sans Serif"/>
      <family val="2"/>
    </font>
    <font>
      <b/>
      <sz val="16"/>
      <name val="Microsoft Sans Serif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Microsoft Sans Serif"/>
      <family val="2"/>
    </font>
    <font>
      <sz val="11"/>
      <color theme="1"/>
      <name val="Calibri"/>
      <family val="2"/>
    </font>
    <font>
      <b/>
      <sz val="10"/>
      <color theme="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  <bgColor indexed="27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48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thin">
        <color indexed="12"/>
      </left>
      <right/>
      <top style="thin">
        <color indexed="12"/>
      </top>
      <bottom style="thin">
        <color indexed="48"/>
      </bottom>
      <diagonal/>
    </border>
    <border>
      <left/>
      <right style="thin">
        <color indexed="48"/>
      </right>
      <top style="thin">
        <color indexed="12"/>
      </top>
      <bottom style="thin">
        <color indexed="48"/>
      </bottom>
      <diagonal/>
    </border>
    <border>
      <left/>
      <right/>
      <top style="thin">
        <color indexed="12"/>
      </top>
      <bottom style="thin">
        <color indexed="48"/>
      </bottom>
      <diagonal/>
    </border>
    <border>
      <left/>
      <right style="thin">
        <color indexed="12"/>
      </right>
      <top style="thin">
        <color indexed="12"/>
      </top>
      <bottom style="thin">
        <color indexed="48"/>
      </bottom>
      <diagonal/>
    </border>
    <border>
      <left style="thin">
        <color indexed="12"/>
      </left>
      <right/>
      <top style="thin">
        <color indexed="48"/>
      </top>
      <bottom/>
      <diagonal/>
    </border>
    <border>
      <left/>
      <right/>
      <top style="thin">
        <color indexed="48"/>
      </top>
      <bottom/>
      <diagonal/>
    </border>
    <border>
      <left/>
      <right style="thin">
        <color indexed="12"/>
      </right>
      <top style="thin">
        <color indexed="48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 style="thin">
        <color indexed="48"/>
      </right>
      <top/>
      <bottom style="thin">
        <color indexed="12"/>
      </bottom>
      <diagonal/>
    </border>
    <border>
      <left style="thin">
        <color indexed="48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/>
      <bottom/>
      <diagonal/>
    </border>
    <border>
      <left style="thin">
        <color indexed="48"/>
      </left>
      <right/>
      <top/>
      <bottom style="thin">
        <color indexed="48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/>
      <right/>
      <top/>
      <bottom style="thin">
        <color indexed="4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7"/>
      </left>
      <right/>
      <top/>
      <bottom/>
      <diagonal/>
    </border>
    <border>
      <left/>
      <right style="thin">
        <color indexed="17"/>
      </right>
      <top/>
      <bottom/>
      <diagonal/>
    </border>
    <border>
      <left style="thin">
        <color indexed="17"/>
      </left>
      <right/>
      <top style="thin">
        <color indexed="17"/>
      </top>
      <bottom/>
      <diagonal/>
    </border>
    <border>
      <left/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9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9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indexed="17"/>
      </left>
      <right/>
      <top/>
      <bottom style="medium">
        <color theme="0"/>
      </bottom>
      <diagonal/>
    </border>
    <border>
      <left/>
      <right style="thin">
        <color indexed="17"/>
      </right>
      <top/>
      <bottom style="medium">
        <color theme="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57"/>
      </left>
      <right/>
      <top/>
      <bottom style="thin">
        <color indexed="57"/>
      </bottom>
      <diagonal/>
    </border>
    <border>
      <left/>
      <right style="thin">
        <color indexed="57"/>
      </right>
      <top/>
      <bottom style="thin">
        <color indexed="57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indexed="48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indexed="48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indexed="48"/>
      </bottom>
      <diagonal/>
    </border>
    <border>
      <left/>
      <right style="thin">
        <color theme="3" tint="0.39991454817346722"/>
      </right>
      <top style="thin">
        <color theme="3" tint="0.39994506668294322"/>
      </top>
      <bottom style="thin">
        <color indexed="4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auto="1"/>
      </right>
      <top style="thin">
        <color rgb="FFBFBFBF"/>
      </top>
      <bottom style="thin">
        <color rgb="FFBFBFBF"/>
      </bottom>
      <diagonal/>
    </border>
    <border>
      <left style="thin">
        <color indexed="17"/>
      </left>
      <right/>
      <top style="thin">
        <color indexed="17"/>
      </top>
      <bottom style="thin">
        <color indexed="9"/>
      </bottom>
      <diagonal/>
    </border>
    <border>
      <left/>
      <right style="thin">
        <color indexed="17"/>
      </right>
      <top style="thin">
        <color indexed="17"/>
      </top>
      <bottom style="thin">
        <color indexed="9"/>
      </bottom>
      <diagonal/>
    </border>
    <border>
      <left style="thin">
        <color indexed="17"/>
      </left>
      <right/>
      <top style="thin">
        <color indexed="9"/>
      </top>
      <bottom style="thin">
        <color indexed="17"/>
      </bottom>
      <diagonal/>
    </border>
    <border>
      <left/>
      <right style="thin">
        <color indexed="17"/>
      </right>
      <top style="thin">
        <color indexed="9"/>
      </top>
      <bottom style="thin">
        <color indexed="17"/>
      </bottom>
      <diagonal/>
    </border>
    <border>
      <left/>
      <right style="thin">
        <color indexed="64"/>
      </right>
      <top style="thin">
        <color indexed="48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48"/>
      </top>
      <bottom style="thin">
        <color indexed="48"/>
      </bottom>
      <diagonal/>
    </border>
    <border>
      <left/>
      <right style="thin">
        <color indexed="64"/>
      </right>
      <top/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62">
    <xf numFmtId="0" fontId="0" fillId="0" borderId="0"/>
    <xf numFmtId="165" fontId="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43" fontId="14" fillId="0" borderId="0" applyFont="0" applyFill="0" applyBorder="0" applyAlignment="0" applyProtection="0"/>
    <xf numFmtId="0" fontId="26" fillId="0" borderId="0">
      <alignment vertical="top"/>
    </xf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6" fillId="0" borderId="0">
      <alignment vertical="top"/>
    </xf>
    <xf numFmtId="165" fontId="3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38">
    <xf numFmtId="0" fontId="0" fillId="0" borderId="0" xfId="0"/>
    <xf numFmtId="0" fontId="6" fillId="0" borderId="0" xfId="0" applyFont="1"/>
    <xf numFmtId="0" fontId="6" fillId="0" borderId="0" xfId="0" applyFont="1" applyBorder="1"/>
    <xf numFmtId="0" fontId="8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Fill="1"/>
    <xf numFmtId="0" fontId="20" fillId="0" borderId="0" xfId="0" applyFont="1" applyProtection="1"/>
    <xf numFmtId="0" fontId="20" fillId="0" borderId="0" xfId="0" applyFont="1" applyBorder="1" applyAlignment="1" applyProtection="1">
      <alignment horizontal="right"/>
    </xf>
    <xf numFmtId="166" fontId="20" fillId="0" borderId="0" xfId="0" applyNumberFormat="1" applyFont="1" applyAlignment="1" applyProtection="1">
      <alignment horizontal="center"/>
    </xf>
    <xf numFmtId="0" fontId="22" fillId="0" borderId="0" xfId="0" applyFont="1" applyBorder="1" applyAlignment="1" applyProtection="1"/>
    <xf numFmtId="0" fontId="20" fillId="0" borderId="0" xfId="0" applyFont="1" applyBorder="1" applyProtection="1"/>
    <xf numFmtId="0" fontId="21" fillId="0" borderId="0" xfId="0" applyFont="1" applyProtection="1"/>
    <xf numFmtId="0" fontId="20" fillId="0" borderId="0" xfId="0" applyFont="1" applyAlignment="1" applyProtection="1"/>
    <xf numFmtId="0" fontId="20" fillId="0" borderId="0" xfId="0" applyFont="1" applyAlignment="1" applyProtection="1">
      <alignment horizontal="center"/>
    </xf>
    <xf numFmtId="0" fontId="20" fillId="0" borderId="2" xfId="0" applyFont="1" applyBorder="1" applyAlignment="1" applyProtection="1">
      <alignment horizontal="center"/>
    </xf>
    <xf numFmtId="0" fontId="21" fillId="3" borderId="3" xfId="0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0" fontId="6" fillId="0" borderId="0" xfId="0" applyFont="1" applyFill="1" applyProtection="1"/>
    <xf numFmtId="0" fontId="6" fillId="0" borderId="0" xfId="0" applyFont="1" applyBorder="1" applyProtection="1"/>
    <xf numFmtId="0" fontId="8" fillId="0" borderId="0" xfId="0" applyFont="1" applyAlignment="1" applyProtection="1">
      <alignment horizontal="center"/>
    </xf>
    <xf numFmtId="0" fontId="6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165" fontId="18" fillId="0" borderId="4" xfId="0" applyNumberFormat="1" applyFont="1" applyBorder="1" applyAlignment="1" applyProtection="1">
      <alignment vertic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Border="1" applyAlignment="1" applyProtection="1">
      <alignment horizontal="right"/>
      <protection hidden="1"/>
    </xf>
    <xf numFmtId="166" fontId="9" fillId="0" borderId="0" xfId="0" applyNumberFormat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1" fillId="0" borderId="0" xfId="0" applyFont="1" applyFill="1" applyAlignment="1" applyProtection="1">
      <alignment horizontal="center"/>
      <protection hidden="1"/>
    </xf>
    <xf numFmtId="0" fontId="11" fillId="0" borderId="0" xfId="0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Border="1" applyProtection="1">
      <protection hidden="1"/>
    </xf>
    <xf numFmtId="0" fontId="17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Border="1" applyProtection="1">
      <protection hidden="1"/>
    </xf>
    <xf numFmtId="0" fontId="17" fillId="0" borderId="0" xfId="0" applyFont="1" applyProtection="1">
      <protection hidden="1"/>
    </xf>
    <xf numFmtId="0" fontId="7" fillId="0" borderId="0" xfId="0" applyFont="1" applyAlignment="1" applyProtection="1">
      <alignment horizontal="right"/>
      <protection hidden="1"/>
    </xf>
    <xf numFmtId="0" fontId="12" fillId="4" borderId="5" xfId="0" applyFont="1" applyFill="1" applyBorder="1" applyAlignment="1" applyProtection="1">
      <alignment horizontal="left"/>
      <protection hidden="1"/>
    </xf>
    <xf numFmtId="0" fontId="10" fillId="4" borderId="6" xfId="0" applyFont="1" applyFill="1" applyBorder="1" applyAlignment="1" applyProtection="1">
      <alignment horizontal="center"/>
      <protection hidden="1"/>
    </xf>
    <xf numFmtId="0" fontId="10" fillId="4" borderId="7" xfId="0" applyFont="1" applyFill="1" applyBorder="1" applyAlignment="1" applyProtection="1">
      <alignment horizontal="center"/>
      <protection hidden="1"/>
    </xf>
    <xf numFmtId="0" fontId="10" fillId="4" borderId="8" xfId="0" applyFont="1" applyFill="1" applyBorder="1" applyAlignment="1" applyProtection="1">
      <alignment horizontal="center"/>
      <protection hidden="1"/>
    </xf>
    <xf numFmtId="165" fontId="17" fillId="0" borderId="9" xfId="1" applyFont="1" applyBorder="1" applyAlignment="1" applyProtection="1">
      <alignment vertical="center"/>
      <protection hidden="1"/>
    </xf>
    <xf numFmtId="165" fontId="17" fillId="0" borderId="10" xfId="1" applyFont="1" applyBorder="1" applyAlignment="1" applyProtection="1">
      <alignment vertical="center"/>
      <protection hidden="1"/>
    </xf>
    <xf numFmtId="165" fontId="17" fillId="0" borderId="11" xfId="1" applyFont="1" applyBorder="1" applyAlignment="1" applyProtection="1">
      <alignment vertical="center"/>
      <protection hidden="1"/>
    </xf>
    <xf numFmtId="165" fontId="17" fillId="0" borderId="12" xfId="1" applyFont="1" applyBorder="1" applyAlignment="1" applyProtection="1">
      <alignment vertical="center"/>
      <protection hidden="1"/>
    </xf>
    <xf numFmtId="165" fontId="17" fillId="0" borderId="13" xfId="1" applyFont="1" applyBorder="1" applyAlignment="1" applyProtection="1">
      <alignment vertical="center"/>
      <protection hidden="1"/>
    </xf>
    <xf numFmtId="165" fontId="17" fillId="0" borderId="15" xfId="1" applyFont="1" applyBorder="1" applyAlignment="1" applyProtection="1">
      <alignment vertical="center"/>
      <protection hidden="1"/>
    </xf>
    <xf numFmtId="165" fontId="17" fillId="0" borderId="16" xfId="1" applyFont="1" applyBorder="1" applyAlignment="1" applyProtection="1">
      <alignment vertical="center"/>
      <protection hidden="1"/>
    </xf>
    <xf numFmtId="165" fontId="17" fillId="0" borderId="0" xfId="1" applyFont="1" applyBorder="1" applyAlignment="1" applyProtection="1">
      <alignment vertical="center"/>
      <protection hidden="1"/>
    </xf>
    <xf numFmtId="0" fontId="17" fillId="0" borderId="0" xfId="0" applyFont="1" applyBorder="1" applyAlignment="1" applyProtection="1">
      <alignment vertical="center"/>
      <protection hidden="1"/>
    </xf>
    <xf numFmtId="0" fontId="12" fillId="4" borderId="17" xfId="0" applyFont="1" applyFill="1" applyBorder="1" applyAlignment="1" applyProtection="1">
      <alignment vertical="center"/>
      <protection hidden="1"/>
    </xf>
    <xf numFmtId="0" fontId="10" fillId="4" borderId="18" xfId="0" applyFont="1" applyFill="1" applyBorder="1" applyAlignment="1" applyProtection="1">
      <alignment vertical="center"/>
      <protection hidden="1"/>
    </xf>
    <xf numFmtId="0" fontId="10" fillId="4" borderId="19" xfId="0" applyFont="1" applyFill="1" applyBorder="1" applyAlignment="1" applyProtection="1">
      <alignment vertical="center"/>
      <protection hidden="1"/>
    </xf>
    <xf numFmtId="165" fontId="18" fillId="0" borderId="20" xfId="0" applyNumberFormat="1" applyFont="1" applyBorder="1" applyAlignment="1" applyProtection="1">
      <alignment vertical="center"/>
      <protection hidden="1"/>
    </xf>
    <xf numFmtId="165" fontId="18" fillId="0" borderId="10" xfId="0" applyNumberFormat="1" applyFont="1" applyBorder="1" applyAlignment="1" applyProtection="1">
      <alignment vertical="center"/>
      <protection hidden="1"/>
    </xf>
    <xf numFmtId="9" fontId="17" fillId="0" borderId="0" xfId="0" applyNumberFormat="1" applyFont="1" applyFill="1" applyBorder="1" applyAlignment="1" applyProtection="1">
      <alignment horizontal="center" vertical="center"/>
      <protection hidden="1"/>
    </xf>
    <xf numFmtId="165" fontId="18" fillId="0" borderId="21" xfId="0" applyNumberFormat="1" applyFont="1" applyFill="1" applyBorder="1" applyAlignment="1" applyProtection="1">
      <alignment vertical="center"/>
      <protection hidden="1"/>
    </xf>
    <xf numFmtId="165" fontId="18" fillId="0" borderId="2" xfId="0" applyNumberFormat="1" applyFont="1" applyFill="1" applyBorder="1" applyAlignment="1" applyProtection="1">
      <alignment vertical="center"/>
      <protection hidden="1"/>
    </xf>
    <xf numFmtId="165" fontId="18" fillId="0" borderId="0" xfId="0" applyNumberFormat="1" applyFont="1" applyFill="1" applyBorder="1" applyAlignment="1" applyProtection="1">
      <alignment vertical="center"/>
      <protection hidden="1"/>
    </xf>
    <xf numFmtId="165" fontId="18" fillId="0" borderId="21" xfId="0" applyNumberFormat="1" applyFont="1" applyBorder="1" applyAlignment="1" applyProtection="1">
      <alignment vertical="center"/>
      <protection hidden="1"/>
    </xf>
    <xf numFmtId="165" fontId="18" fillId="0" borderId="2" xfId="0" applyNumberFormat="1" applyFont="1" applyBorder="1" applyAlignment="1" applyProtection="1">
      <alignment vertical="center"/>
      <protection hidden="1"/>
    </xf>
    <xf numFmtId="165" fontId="18" fillId="0" borderId="0" xfId="0" applyNumberFormat="1" applyFont="1" applyBorder="1" applyAlignment="1" applyProtection="1">
      <alignment vertical="center"/>
      <protection hidden="1"/>
    </xf>
    <xf numFmtId="165" fontId="19" fillId="0" borderId="4" xfId="0" applyNumberFormat="1" applyFont="1" applyFill="1" applyBorder="1" applyAlignment="1" applyProtection="1">
      <alignment vertical="center"/>
      <protection hidden="1"/>
    </xf>
    <xf numFmtId="165" fontId="19" fillId="0" borderId="20" xfId="0" applyNumberFormat="1" applyFont="1" applyFill="1" applyBorder="1" applyAlignment="1" applyProtection="1">
      <alignment vertical="center"/>
      <protection hidden="1"/>
    </xf>
    <xf numFmtId="165" fontId="19" fillId="0" borderId="10" xfId="0" applyNumberFormat="1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17" fillId="0" borderId="0" xfId="0" applyFont="1" applyFill="1" applyBorder="1" applyAlignment="1" applyProtection="1">
      <alignment horizontal="center" vertical="center" wrapText="1" shrinkToFit="1"/>
      <protection hidden="1"/>
    </xf>
    <xf numFmtId="165" fontId="19" fillId="5" borderId="17" xfId="0" applyNumberFormat="1" applyFont="1" applyFill="1" applyBorder="1" applyAlignment="1" applyProtection="1">
      <alignment vertical="center"/>
      <protection hidden="1"/>
    </xf>
    <xf numFmtId="165" fontId="19" fillId="5" borderId="19" xfId="0" applyNumberFormat="1" applyFont="1" applyFill="1" applyBorder="1" applyAlignment="1" applyProtection="1">
      <alignment vertical="center"/>
      <protection hidden="1"/>
    </xf>
    <xf numFmtId="165" fontId="19" fillId="5" borderId="18" xfId="0" applyNumberFormat="1" applyFont="1" applyFill="1" applyBorder="1" applyAlignment="1" applyProtection="1">
      <alignment vertical="center"/>
      <protection hidden="1"/>
    </xf>
    <xf numFmtId="0" fontId="17" fillId="0" borderId="0" xfId="0" applyFont="1" applyAlignment="1" applyProtection="1">
      <alignment vertical="center"/>
      <protection hidden="1"/>
    </xf>
    <xf numFmtId="165" fontId="18" fillId="0" borderId="4" xfId="0" applyNumberFormat="1" applyFont="1" applyFill="1" applyBorder="1" applyAlignment="1" applyProtection="1">
      <alignment vertical="center"/>
      <protection hidden="1"/>
    </xf>
    <xf numFmtId="165" fontId="18" fillId="0" borderId="20" xfId="0" applyNumberFormat="1" applyFont="1" applyFill="1" applyBorder="1" applyAlignment="1" applyProtection="1">
      <alignment vertical="center"/>
      <protection hidden="1"/>
    </xf>
    <xf numFmtId="0" fontId="17" fillId="0" borderId="0" xfId="0" applyFont="1" applyFill="1" applyBorder="1" applyAlignment="1" applyProtection="1">
      <alignment vertical="center" wrapText="1"/>
      <protection hidden="1"/>
    </xf>
    <xf numFmtId="165" fontId="19" fillId="6" borderId="4" xfId="0" applyNumberFormat="1" applyFont="1" applyFill="1" applyBorder="1" applyAlignment="1" applyProtection="1">
      <alignment vertical="center"/>
      <protection hidden="1"/>
    </xf>
    <xf numFmtId="165" fontId="19" fillId="6" borderId="20" xfId="0" applyNumberFormat="1" applyFont="1" applyFill="1" applyBorder="1" applyAlignment="1" applyProtection="1">
      <alignment vertical="center"/>
      <protection hidden="1"/>
    </xf>
    <xf numFmtId="165" fontId="19" fillId="6" borderId="10" xfId="0" applyNumberFormat="1" applyFont="1" applyFill="1" applyBorder="1" applyAlignment="1" applyProtection="1">
      <alignment vertical="center"/>
      <protection hidden="1"/>
    </xf>
    <xf numFmtId="165" fontId="19" fillId="5" borderId="22" xfId="0" applyNumberFormat="1" applyFont="1" applyFill="1" applyBorder="1" applyAlignment="1" applyProtection="1">
      <alignment vertical="center"/>
      <protection hidden="1"/>
    </xf>
    <xf numFmtId="165" fontId="19" fillId="5" borderId="23" xfId="0" applyNumberFormat="1" applyFont="1" applyFill="1" applyBorder="1" applyAlignment="1" applyProtection="1">
      <alignment vertical="center"/>
      <protection hidden="1"/>
    </xf>
    <xf numFmtId="165" fontId="19" fillId="5" borderId="24" xfId="0" applyNumberFormat="1" applyFont="1" applyFill="1" applyBorder="1" applyAlignment="1" applyProtection="1">
      <alignment vertical="center"/>
      <protection hidden="1"/>
    </xf>
    <xf numFmtId="0" fontId="17" fillId="0" borderId="0" xfId="0" applyFont="1" applyBorder="1" applyAlignment="1" applyProtection="1">
      <alignment horizontal="left"/>
      <protection hidden="1"/>
    </xf>
    <xf numFmtId="0" fontId="16" fillId="0" borderId="0" xfId="0" applyFont="1" applyProtection="1">
      <protection locked="0" hidden="1"/>
    </xf>
    <xf numFmtId="0" fontId="6" fillId="0" borderId="0" xfId="0" applyFont="1" applyBorder="1" applyProtection="1">
      <protection locked="0" hidden="1"/>
    </xf>
    <xf numFmtId="0" fontId="14" fillId="0" borderId="0" xfId="0" applyFont="1" applyFill="1" applyBorder="1" applyProtection="1"/>
    <xf numFmtId="0" fontId="15" fillId="0" borderId="25" xfId="0" applyFont="1" applyFill="1" applyBorder="1" applyAlignment="1" applyProtection="1">
      <alignment horizontal="center"/>
    </xf>
    <xf numFmtId="0" fontId="14" fillId="0" borderId="26" xfId="0" applyFont="1" applyFill="1" applyBorder="1" applyProtection="1"/>
    <xf numFmtId="0" fontId="15" fillId="0" borderId="0" xfId="0" applyFont="1" applyFill="1" applyBorder="1" applyProtection="1"/>
    <xf numFmtId="0" fontId="14" fillId="0" borderId="0" xfId="0" quotePrefix="1" applyFont="1" applyFill="1" applyBorder="1" applyProtection="1"/>
    <xf numFmtId="165" fontId="14" fillId="0" borderId="0" xfId="1" applyFont="1" applyFill="1" applyBorder="1" applyAlignment="1" applyProtection="1">
      <alignment horizontal="center"/>
    </xf>
    <xf numFmtId="165" fontId="14" fillId="0" borderId="25" xfId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/>
    </xf>
    <xf numFmtId="0" fontId="14" fillId="0" borderId="25" xfId="0" applyFont="1" applyFill="1" applyBorder="1" applyAlignment="1" applyProtection="1">
      <alignment horizontal="center"/>
    </xf>
    <xf numFmtId="0" fontId="14" fillId="0" borderId="27" xfId="0" applyFont="1" applyFill="1" applyBorder="1" applyProtection="1"/>
    <xf numFmtId="0" fontId="14" fillId="0" borderId="28" xfId="0" quotePrefix="1" applyFont="1" applyFill="1" applyBorder="1" applyProtection="1"/>
    <xf numFmtId="165" fontId="14" fillId="0" borderId="28" xfId="1" applyFont="1" applyFill="1" applyBorder="1" applyAlignment="1" applyProtection="1">
      <alignment horizontal="center"/>
    </xf>
    <xf numFmtId="165" fontId="14" fillId="0" borderId="29" xfId="1" applyFont="1" applyFill="1" applyBorder="1" applyAlignment="1" applyProtection="1">
      <alignment horizontal="center"/>
    </xf>
    <xf numFmtId="165" fontId="15" fillId="0" borderId="25" xfId="1" applyFont="1" applyFill="1" applyBorder="1" applyAlignment="1" applyProtection="1">
      <alignment horizontal="center"/>
    </xf>
    <xf numFmtId="165" fontId="18" fillId="0" borderId="30" xfId="0" applyNumberFormat="1" applyFont="1" applyBorder="1" applyAlignment="1" applyProtection="1">
      <alignment vertical="center"/>
      <protection hidden="1"/>
    </xf>
    <xf numFmtId="165" fontId="18" fillId="0" borderId="30" xfId="0" applyNumberFormat="1" applyFont="1" applyFill="1" applyBorder="1" applyAlignment="1" applyProtection="1">
      <alignment vertical="center"/>
      <protection hidden="1"/>
    </xf>
    <xf numFmtId="165" fontId="18" fillId="7" borderId="30" xfId="0" applyNumberFormat="1" applyFont="1" applyFill="1" applyBorder="1" applyAlignment="1" applyProtection="1">
      <alignment vertical="center"/>
      <protection hidden="1"/>
    </xf>
    <xf numFmtId="0" fontId="6" fillId="0" borderId="0" xfId="0" applyFont="1" applyProtection="1">
      <protection locked="0" hidden="1"/>
    </xf>
    <xf numFmtId="165" fontId="14" fillId="0" borderId="0" xfId="0" applyNumberFormat="1" applyFont="1" applyFill="1" applyBorder="1" applyProtection="1"/>
    <xf numFmtId="0" fontId="15" fillId="10" borderId="25" xfId="0" applyFont="1" applyFill="1" applyBorder="1" applyAlignment="1" applyProtection="1">
      <alignment horizontal="center"/>
    </xf>
    <xf numFmtId="0" fontId="14" fillId="10" borderId="26" xfId="0" applyFont="1" applyFill="1" applyBorder="1" applyProtection="1"/>
    <xf numFmtId="0" fontId="15" fillId="10" borderId="0" xfId="0" applyFont="1" applyFill="1" applyBorder="1" applyProtection="1"/>
    <xf numFmtId="0" fontId="15" fillId="10" borderId="0" xfId="0" applyFont="1" applyFill="1" applyBorder="1" applyAlignment="1" applyProtection="1">
      <alignment horizontal="center"/>
    </xf>
    <xf numFmtId="165" fontId="15" fillId="10" borderId="25" xfId="1" applyFont="1" applyFill="1" applyBorder="1" applyAlignment="1" applyProtection="1">
      <alignment horizontal="center"/>
    </xf>
    <xf numFmtId="0" fontId="14" fillId="10" borderId="0" xfId="0" quotePrefix="1" applyFont="1" applyFill="1" applyBorder="1" applyProtection="1"/>
    <xf numFmtId="165" fontId="14" fillId="10" borderId="0" xfId="1" applyFont="1" applyFill="1" applyBorder="1" applyAlignment="1" applyProtection="1">
      <alignment horizontal="center"/>
    </xf>
    <xf numFmtId="165" fontId="14" fillId="10" borderId="25" xfId="1" applyFont="1" applyFill="1" applyBorder="1" applyAlignment="1" applyProtection="1">
      <alignment horizontal="center"/>
    </xf>
    <xf numFmtId="0" fontId="14" fillId="10" borderId="0" xfId="0" applyFont="1" applyFill="1" applyBorder="1" applyProtection="1"/>
    <xf numFmtId="0" fontId="14" fillId="10" borderId="0" xfId="0" applyFont="1" applyFill="1" applyBorder="1" applyAlignment="1" applyProtection="1">
      <alignment horizontal="center"/>
    </xf>
    <xf numFmtId="0" fontId="14" fillId="10" borderId="25" xfId="0" applyFont="1" applyFill="1" applyBorder="1" applyAlignment="1" applyProtection="1">
      <alignment horizontal="center"/>
    </xf>
    <xf numFmtId="0" fontId="14" fillId="10" borderId="27" xfId="0" applyFont="1" applyFill="1" applyBorder="1" applyProtection="1"/>
    <xf numFmtId="0" fontId="14" fillId="10" borderId="28" xfId="0" quotePrefix="1" applyFont="1" applyFill="1" applyBorder="1" applyProtection="1"/>
    <xf numFmtId="165" fontId="14" fillId="10" borderId="28" xfId="1" applyFont="1" applyFill="1" applyBorder="1" applyAlignment="1" applyProtection="1">
      <alignment horizontal="center"/>
    </xf>
    <xf numFmtId="165" fontId="14" fillId="10" borderId="29" xfId="1" applyFont="1" applyFill="1" applyBorder="1" applyAlignment="1" applyProtection="1">
      <alignment horizontal="center"/>
    </xf>
    <xf numFmtId="0" fontId="17" fillId="0" borderId="31" xfId="0" applyFont="1" applyFill="1" applyBorder="1" applyAlignment="1" applyProtection="1">
      <alignment vertical="center"/>
      <protection hidden="1"/>
    </xf>
    <xf numFmtId="0" fontId="17" fillId="0" borderId="32" xfId="0" applyFont="1" applyFill="1" applyBorder="1" applyAlignment="1" applyProtection="1">
      <alignment vertical="center"/>
      <protection hidden="1"/>
    </xf>
    <xf numFmtId="0" fontId="17" fillId="0" borderId="31" xfId="0" applyFont="1" applyFill="1" applyBorder="1" applyAlignment="1" applyProtection="1">
      <alignment vertical="center" wrapText="1"/>
      <protection hidden="1"/>
    </xf>
    <xf numFmtId="0" fontId="17" fillId="0" borderId="32" xfId="0" applyFont="1" applyFill="1" applyBorder="1" applyAlignment="1" applyProtection="1">
      <alignment vertical="center" wrapText="1"/>
      <protection hidden="1"/>
    </xf>
    <xf numFmtId="0" fontId="17" fillId="0" borderId="31" xfId="0" applyFont="1" applyFill="1" applyBorder="1" applyAlignment="1" applyProtection="1">
      <alignment vertical="center" shrinkToFit="1"/>
      <protection hidden="1"/>
    </xf>
    <xf numFmtId="0" fontId="17" fillId="0" borderId="32" xfId="0" applyFont="1" applyFill="1" applyBorder="1" applyAlignment="1" applyProtection="1">
      <alignment vertical="center" shrinkToFit="1"/>
      <protection hidden="1"/>
    </xf>
    <xf numFmtId="165" fontId="17" fillId="11" borderId="4" xfId="1" applyFont="1" applyFill="1" applyBorder="1" applyAlignment="1" applyProtection="1">
      <alignment horizontal="center" vertical="center"/>
      <protection hidden="1"/>
    </xf>
    <xf numFmtId="165" fontId="18" fillId="11" borderId="4" xfId="0" applyNumberFormat="1" applyFont="1" applyFill="1" applyBorder="1" applyAlignment="1" applyProtection="1">
      <alignment horizontal="center" vertical="center"/>
      <protection hidden="1"/>
    </xf>
    <xf numFmtId="165" fontId="17" fillId="11" borderId="14" xfId="1" applyFont="1" applyFill="1" applyBorder="1" applyAlignment="1" applyProtection="1">
      <alignment horizontal="center" vertical="center"/>
      <protection hidden="1"/>
    </xf>
    <xf numFmtId="165" fontId="17" fillId="0" borderId="0" xfId="1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165" fontId="18" fillId="11" borderId="21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165" fontId="18" fillId="11" borderId="0" xfId="0" applyNumberFormat="1" applyFont="1" applyFill="1" applyBorder="1" applyAlignment="1" applyProtection="1">
      <alignment horizontal="center" vertical="center"/>
      <protection hidden="1"/>
    </xf>
    <xf numFmtId="0" fontId="17" fillId="4" borderId="7" xfId="0" applyFont="1" applyFill="1" applyBorder="1" applyAlignment="1" applyProtection="1">
      <alignment horizontal="center"/>
      <protection hidden="1"/>
    </xf>
    <xf numFmtId="165" fontId="18" fillId="6" borderId="20" xfId="0" applyNumberFormat="1" applyFont="1" applyFill="1" applyBorder="1" applyAlignment="1" applyProtection="1">
      <alignment horizontal="center" vertical="center"/>
      <protection hidden="1"/>
    </xf>
    <xf numFmtId="165" fontId="18" fillId="5" borderId="23" xfId="0" applyNumberFormat="1" applyFont="1" applyFill="1" applyBorder="1" applyAlignment="1" applyProtection="1">
      <alignment horizontal="center" vertical="center"/>
      <protection hidden="1"/>
    </xf>
    <xf numFmtId="165" fontId="18" fillId="5" borderId="19" xfId="0" applyNumberFormat="1" applyFont="1" applyFill="1" applyBorder="1" applyAlignment="1" applyProtection="1">
      <alignment horizontal="center" vertical="center"/>
      <protection hidden="1"/>
    </xf>
    <xf numFmtId="0" fontId="10" fillId="4" borderId="18" xfId="0" applyFont="1" applyFill="1" applyBorder="1" applyAlignment="1" applyProtection="1">
      <alignment horizontal="center" vertical="center"/>
      <protection hidden="1"/>
    </xf>
    <xf numFmtId="0" fontId="17" fillId="4" borderId="18" xfId="0" applyFont="1" applyFill="1" applyBorder="1" applyAlignment="1" applyProtection="1">
      <alignment horizontal="center" vertical="center"/>
      <protection hidden="1"/>
    </xf>
    <xf numFmtId="165" fontId="18" fillId="6" borderId="49" xfId="0" applyNumberFormat="1" applyFont="1" applyFill="1" applyBorder="1" applyAlignment="1" applyProtection="1">
      <alignment horizontal="center" vertical="center"/>
      <protection hidden="1"/>
    </xf>
    <xf numFmtId="165" fontId="18" fillId="6" borderId="50" xfId="0" applyNumberFormat="1" applyFont="1" applyFill="1" applyBorder="1" applyAlignment="1" applyProtection="1">
      <alignment horizontal="center" vertical="center"/>
      <protection hidden="1"/>
    </xf>
    <xf numFmtId="0" fontId="17" fillId="4" borderId="6" xfId="0" applyFont="1" applyFill="1" applyBorder="1" applyAlignment="1" applyProtection="1">
      <alignment horizontal="center"/>
      <protection hidden="1"/>
    </xf>
    <xf numFmtId="165" fontId="18" fillId="11" borderId="30" xfId="0" applyNumberFormat="1" applyFont="1" applyFill="1" applyBorder="1" applyAlignment="1" applyProtection="1">
      <alignment horizontal="center" vertical="center"/>
      <protection hidden="1"/>
    </xf>
    <xf numFmtId="0" fontId="10" fillId="4" borderId="53" xfId="0" applyFont="1" applyFill="1" applyBorder="1" applyAlignment="1" applyProtection="1">
      <alignment horizontal="center"/>
      <protection hidden="1"/>
    </xf>
    <xf numFmtId="0" fontId="17" fillId="11" borderId="57" xfId="0" applyFont="1" applyFill="1" applyBorder="1" applyAlignment="1" applyProtection="1">
      <alignment horizontal="center"/>
      <protection hidden="1"/>
    </xf>
    <xf numFmtId="165" fontId="17" fillId="0" borderId="0" xfId="1" applyFont="1" applyFill="1" applyBorder="1" applyAlignment="1" applyProtection="1">
      <alignment horizontal="center" vertical="center"/>
      <protection hidden="1"/>
    </xf>
    <xf numFmtId="43" fontId="27" fillId="12" borderId="59" xfId="359" applyFont="1" applyFill="1" applyBorder="1" applyAlignment="1">
      <alignment vertical="center"/>
    </xf>
    <xf numFmtId="0" fontId="11" fillId="0" borderId="0" xfId="0" applyFont="1" applyAlignment="1" applyProtection="1">
      <alignment horizontal="center"/>
      <protection hidden="1"/>
    </xf>
    <xf numFmtId="0" fontId="15" fillId="10" borderId="0" xfId="0" applyFont="1" applyFill="1" applyBorder="1" applyAlignment="1" applyProtection="1">
      <alignment horizontal="center"/>
    </xf>
    <xf numFmtId="43" fontId="27" fillId="10" borderId="59" xfId="359" applyFont="1" applyFill="1" applyBorder="1" applyAlignment="1">
      <alignment vertical="center"/>
    </xf>
    <xf numFmtId="0" fontId="15" fillId="0" borderId="0" xfId="0" applyFont="1" applyFill="1" applyBorder="1" applyAlignment="1" applyProtection="1">
      <alignment horizontal="center"/>
    </xf>
    <xf numFmtId="0" fontId="15" fillId="10" borderId="0" xfId="0" applyFont="1" applyFill="1" applyBorder="1" applyAlignment="1" applyProtection="1">
      <alignment horizontal="center"/>
    </xf>
    <xf numFmtId="0" fontId="17" fillId="4" borderId="18" xfId="0" applyFont="1" applyFill="1" applyBorder="1" applyAlignment="1" applyProtection="1">
      <protection hidden="1"/>
    </xf>
    <xf numFmtId="0" fontId="4" fillId="0" borderId="0" xfId="0" applyFont="1" applyFill="1" applyBorder="1" applyProtection="1"/>
    <xf numFmtId="0" fontId="4" fillId="0" borderId="0" xfId="0" quotePrefix="1" applyFont="1" applyFill="1" applyBorder="1" applyProtection="1"/>
    <xf numFmtId="168" fontId="29" fillId="0" borderId="0" xfId="361" applyNumberFormat="1" applyFont="1" applyFill="1" applyBorder="1" applyAlignment="1" applyProtection="1">
      <alignment horizontal="right" vertical="center" wrapText="1"/>
      <protection hidden="1"/>
    </xf>
    <xf numFmtId="168" fontId="29" fillId="10" borderId="0" xfId="361" applyNumberFormat="1" applyFont="1" applyFill="1" applyBorder="1" applyAlignment="1" applyProtection="1">
      <alignment horizontal="right" vertical="center" wrapText="1"/>
      <protection hidden="1"/>
    </xf>
    <xf numFmtId="168" fontId="29" fillId="0" borderId="25" xfId="361" applyNumberFormat="1" applyFont="1" applyFill="1" applyBorder="1" applyAlignment="1" applyProtection="1">
      <alignment horizontal="right" vertical="center" wrapText="1"/>
      <protection hidden="1"/>
    </xf>
    <xf numFmtId="0" fontId="4" fillId="0" borderId="28" xfId="0" quotePrefix="1" applyFont="1" applyFill="1" applyBorder="1" applyProtection="1"/>
    <xf numFmtId="43" fontId="27" fillId="12" borderId="60" xfId="359" applyFont="1" applyFill="1" applyBorder="1" applyAlignment="1">
      <alignment vertical="center"/>
    </xf>
    <xf numFmtId="0" fontId="6" fillId="0" borderId="0" xfId="0" applyFont="1" applyAlignment="1" applyProtection="1">
      <alignment vertical="top"/>
      <protection locked="0" hidden="1"/>
    </xf>
    <xf numFmtId="0" fontId="6" fillId="0" borderId="0" xfId="0" applyFont="1" applyBorder="1" applyAlignment="1" applyProtection="1">
      <alignment horizontal="left"/>
      <protection locked="0" hidden="1"/>
    </xf>
    <xf numFmtId="0" fontId="6" fillId="0" borderId="0" xfId="0" applyFont="1" applyBorder="1" applyAlignment="1" applyProtection="1">
      <protection locked="0" hidden="1"/>
    </xf>
    <xf numFmtId="0" fontId="17" fillId="0" borderId="0" xfId="0" applyFont="1" applyBorder="1" applyProtection="1">
      <protection locked="0" hidden="1"/>
    </xf>
    <xf numFmtId="0" fontId="17" fillId="0" borderId="0" xfId="0" applyFont="1" applyProtection="1">
      <protection locked="0" hidden="1"/>
    </xf>
    <xf numFmtId="0" fontId="28" fillId="0" borderId="0" xfId="0" applyFont="1" applyProtection="1">
      <protection locked="0" hidden="1"/>
    </xf>
    <xf numFmtId="0" fontId="7" fillId="0" borderId="0" xfId="0" applyFont="1" applyAlignment="1" applyProtection="1">
      <alignment horizontal="right"/>
      <protection locked="0" hidden="1"/>
    </xf>
    <xf numFmtId="165" fontId="19" fillId="0" borderId="65" xfId="0" applyNumberFormat="1" applyFont="1" applyFill="1" applyBorder="1" applyAlignment="1" applyProtection="1">
      <alignment vertical="center"/>
      <protection hidden="1"/>
    </xf>
    <xf numFmtId="165" fontId="18" fillId="0" borderId="66" xfId="0" applyNumberFormat="1" applyFont="1" applyFill="1" applyBorder="1" applyAlignment="1" applyProtection="1">
      <alignment vertical="center"/>
      <protection hidden="1"/>
    </xf>
    <xf numFmtId="165" fontId="19" fillId="5" borderId="67" xfId="0" applyNumberFormat="1" applyFont="1" applyFill="1" applyBorder="1" applyAlignment="1" applyProtection="1">
      <alignment vertical="center"/>
      <protection hidden="1"/>
    </xf>
    <xf numFmtId="165" fontId="19" fillId="6" borderId="65" xfId="0" applyNumberFormat="1" applyFont="1" applyFill="1" applyBorder="1" applyAlignment="1" applyProtection="1">
      <alignment vertical="center"/>
      <protection hidden="1"/>
    </xf>
    <xf numFmtId="165" fontId="19" fillId="5" borderId="68" xfId="0" applyNumberFormat="1" applyFont="1" applyFill="1" applyBorder="1" applyAlignment="1" applyProtection="1">
      <alignment vertical="center"/>
      <protection hidden="1"/>
    </xf>
    <xf numFmtId="0" fontId="30" fillId="0" borderId="0" xfId="0" applyFont="1" applyAlignment="1" applyProtection="1">
      <alignment horizontal="center"/>
      <protection locked="0"/>
    </xf>
    <xf numFmtId="10" fontId="6" fillId="13" borderId="0" xfId="0" applyNumberFormat="1" applyFont="1" applyFill="1" applyAlignment="1" applyProtection="1">
      <alignment vertical="center"/>
      <protection locked="0"/>
    </xf>
    <xf numFmtId="0" fontId="6" fillId="0" borderId="69" xfId="0" applyFont="1" applyBorder="1" applyAlignment="1">
      <alignment horizontal="center"/>
    </xf>
    <xf numFmtId="0" fontId="6" fillId="0" borderId="70" xfId="0" applyFont="1" applyBorder="1" applyAlignment="1">
      <alignment horizontal="center" vertical="center"/>
    </xf>
    <xf numFmtId="9" fontId="6" fillId="13" borderId="69" xfId="0" applyNumberFormat="1" applyFont="1" applyFill="1" applyBorder="1" applyAlignment="1">
      <alignment horizontal="center"/>
    </xf>
    <xf numFmtId="0" fontId="9" fillId="0" borderId="0" xfId="0" applyFont="1" applyAlignment="1">
      <alignment horizontal="right" vertical="center"/>
    </xf>
    <xf numFmtId="165" fontId="18" fillId="0" borderId="23" xfId="0" applyNumberFormat="1" applyFont="1" applyFill="1" applyBorder="1" applyAlignment="1" applyProtection="1">
      <alignment vertical="center"/>
      <protection hidden="1"/>
    </xf>
    <xf numFmtId="0" fontId="22" fillId="0" borderId="0" xfId="0" applyFont="1" applyBorder="1" applyAlignment="1" applyProtection="1">
      <alignment horizontal="center"/>
    </xf>
    <xf numFmtId="0" fontId="20" fillId="0" borderId="21" xfId="0" applyFont="1" applyBorder="1" applyAlignment="1" applyProtection="1">
      <alignment horizontal="center"/>
    </xf>
    <xf numFmtId="0" fontId="20" fillId="0" borderId="2" xfId="0" applyFont="1" applyBorder="1" applyAlignment="1" applyProtection="1">
      <alignment horizontal="center"/>
    </xf>
    <xf numFmtId="0" fontId="21" fillId="3" borderId="17" xfId="0" applyFont="1" applyFill="1" applyBorder="1" applyAlignment="1" applyProtection="1">
      <alignment horizontal="center"/>
      <protection locked="0"/>
    </xf>
    <xf numFmtId="0" fontId="21" fillId="3" borderId="18" xfId="0" applyFont="1" applyFill="1" applyBorder="1" applyAlignment="1" applyProtection="1">
      <alignment horizontal="center"/>
      <protection locked="0"/>
    </xf>
    <xf numFmtId="0" fontId="21" fillId="3" borderId="19" xfId="0" applyFont="1" applyFill="1" applyBorder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9" fontId="17" fillId="7" borderId="38" xfId="0" applyNumberFormat="1" applyFont="1" applyFill="1" applyBorder="1" applyAlignment="1" applyProtection="1">
      <alignment horizontal="center" vertical="center"/>
      <protection hidden="1"/>
    </xf>
    <xf numFmtId="0" fontId="17" fillId="7" borderId="39" xfId="0" applyFont="1" applyFill="1" applyBorder="1" applyAlignment="1" applyProtection="1">
      <alignment horizontal="center" vertical="center"/>
      <protection hidden="1"/>
    </xf>
    <xf numFmtId="0" fontId="17" fillId="2" borderId="1" xfId="0" applyFont="1" applyFill="1" applyBorder="1" applyAlignment="1" applyProtection="1">
      <alignment horizontal="left" vertical="center"/>
      <protection hidden="1"/>
    </xf>
    <xf numFmtId="0" fontId="17" fillId="7" borderId="1" xfId="0" applyFont="1" applyFill="1" applyBorder="1" applyAlignment="1" applyProtection="1">
      <alignment horizontal="left" vertical="center"/>
      <protection hidden="1"/>
    </xf>
    <xf numFmtId="0" fontId="17" fillId="2" borderId="1" xfId="0" applyFont="1" applyFill="1" applyBorder="1" applyAlignment="1" applyProtection="1">
      <alignment horizontal="center" vertical="center"/>
      <protection hidden="1"/>
    </xf>
    <xf numFmtId="9" fontId="17" fillId="2" borderId="1" xfId="0" applyNumberFormat="1" applyFont="1" applyFill="1" applyBorder="1" applyAlignment="1" applyProtection="1">
      <alignment horizontal="center" vertical="center"/>
      <protection hidden="1"/>
    </xf>
    <xf numFmtId="164" fontId="17" fillId="7" borderId="1" xfId="0" applyNumberFormat="1" applyFont="1" applyFill="1" applyBorder="1" applyAlignment="1" applyProtection="1">
      <alignment horizontal="center" vertical="center"/>
      <protection hidden="1"/>
    </xf>
    <xf numFmtId="0" fontId="17" fillId="7" borderId="1" xfId="0" applyFont="1" applyFill="1" applyBorder="1" applyAlignment="1" applyProtection="1">
      <alignment horizontal="center" vertical="center"/>
      <protection hidden="1"/>
    </xf>
    <xf numFmtId="0" fontId="17" fillId="7" borderId="37" xfId="0" applyFont="1" applyFill="1" applyBorder="1" applyAlignment="1" applyProtection="1">
      <alignment horizontal="center" vertical="center"/>
      <protection hidden="1"/>
    </xf>
    <xf numFmtId="164" fontId="17" fillId="2" borderId="1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4" borderId="0" xfId="0" applyFont="1" applyFill="1" applyBorder="1" applyAlignment="1" applyProtection="1">
      <alignment horizontal="center" vertical="center"/>
      <protection hidden="1"/>
    </xf>
    <xf numFmtId="167" fontId="6" fillId="0" borderId="0" xfId="0" applyNumberFormat="1" applyFont="1" applyBorder="1" applyAlignment="1" applyProtection="1">
      <alignment horizontal="center"/>
      <protection hidden="1"/>
    </xf>
    <xf numFmtId="167" fontId="6" fillId="0" borderId="0" xfId="0" applyNumberFormat="1" applyFont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center"/>
      <protection hidden="1"/>
    </xf>
    <xf numFmtId="0" fontId="25" fillId="4" borderId="1" xfId="0" applyFont="1" applyFill="1" applyBorder="1" applyAlignment="1" applyProtection="1">
      <alignment horizontal="center"/>
      <protection hidden="1"/>
    </xf>
    <xf numFmtId="0" fontId="12" fillId="0" borderId="17" xfId="0" applyFont="1" applyBorder="1" applyAlignment="1" applyProtection="1">
      <alignment horizontal="center"/>
      <protection hidden="1"/>
    </xf>
    <xf numFmtId="0" fontId="12" fillId="0" borderId="18" xfId="0" applyFont="1" applyBorder="1" applyAlignment="1" applyProtection="1">
      <alignment horizontal="center"/>
      <protection hidden="1"/>
    </xf>
    <xf numFmtId="0" fontId="12" fillId="0" borderId="19" xfId="0" applyFont="1" applyBorder="1" applyAlignment="1" applyProtection="1">
      <alignment horizontal="center"/>
      <protection hidden="1"/>
    </xf>
    <xf numFmtId="0" fontId="17" fillId="7" borderId="40" xfId="0" applyFont="1" applyFill="1" applyBorder="1" applyAlignment="1" applyProtection="1">
      <alignment horizontal="center" vertical="center"/>
      <protection hidden="1"/>
    </xf>
    <xf numFmtId="0" fontId="17" fillId="7" borderId="1" xfId="0" applyFont="1" applyFill="1" applyBorder="1" applyAlignment="1" applyProtection="1">
      <alignment horizontal="center" vertical="center" wrapText="1"/>
      <protection hidden="1"/>
    </xf>
    <xf numFmtId="0" fontId="17" fillId="7" borderId="33" xfId="0" applyFont="1" applyFill="1" applyBorder="1" applyAlignment="1" applyProtection="1">
      <alignment horizontal="left" vertical="center" wrapText="1"/>
      <protection hidden="1"/>
    </xf>
    <xf numFmtId="0" fontId="17" fillId="7" borderId="34" xfId="0" applyFont="1" applyFill="1" applyBorder="1" applyAlignment="1" applyProtection="1">
      <alignment horizontal="left" vertical="center" wrapText="1"/>
      <protection hidden="1"/>
    </xf>
    <xf numFmtId="0" fontId="17" fillId="7" borderId="35" xfId="0" applyFont="1" applyFill="1" applyBorder="1" applyAlignment="1" applyProtection="1">
      <alignment horizontal="left" vertical="center" wrapText="1"/>
      <protection hidden="1"/>
    </xf>
    <xf numFmtId="0" fontId="17" fillId="7" borderId="36" xfId="0" applyFont="1" applyFill="1" applyBorder="1" applyAlignment="1" applyProtection="1">
      <alignment horizontal="left" vertical="center" wrapText="1"/>
      <protection hidden="1"/>
    </xf>
    <xf numFmtId="0" fontId="17" fillId="7" borderId="33" xfId="0" applyFont="1" applyFill="1" applyBorder="1" applyAlignment="1" applyProtection="1">
      <alignment horizontal="center" vertical="center" wrapText="1"/>
      <protection hidden="1"/>
    </xf>
    <xf numFmtId="0" fontId="17" fillId="7" borderId="34" xfId="0" applyFont="1" applyFill="1" applyBorder="1" applyAlignment="1" applyProtection="1">
      <alignment horizontal="center" vertical="center" wrapText="1"/>
      <protection hidden="1"/>
    </xf>
    <xf numFmtId="0" fontId="17" fillId="7" borderId="35" xfId="0" applyFont="1" applyFill="1" applyBorder="1" applyAlignment="1" applyProtection="1">
      <alignment horizontal="center" vertical="center" wrapText="1"/>
      <protection hidden="1"/>
    </xf>
    <xf numFmtId="0" fontId="17" fillId="7" borderId="36" xfId="0" applyFont="1" applyFill="1" applyBorder="1" applyAlignment="1" applyProtection="1">
      <alignment horizontal="center" vertical="center" wrapText="1"/>
      <protection hidden="1"/>
    </xf>
    <xf numFmtId="0" fontId="17" fillId="0" borderId="1" xfId="0" applyFont="1" applyFill="1" applyBorder="1" applyAlignment="1" applyProtection="1">
      <alignment horizontal="left" vertical="center"/>
      <protection hidden="1"/>
    </xf>
    <xf numFmtId="0" fontId="17" fillId="0" borderId="33" xfId="0" applyFont="1" applyFill="1" applyBorder="1" applyAlignment="1" applyProtection="1">
      <alignment horizontal="left" vertical="center" wrapText="1"/>
      <protection hidden="1"/>
    </xf>
    <xf numFmtId="0" fontId="17" fillId="0" borderId="34" xfId="0" applyFont="1" applyFill="1" applyBorder="1" applyAlignment="1" applyProtection="1">
      <alignment horizontal="left" vertical="center" wrapText="1"/>
      <protection hidden="1"/>
    </xf>
    <xf numFmtId="0" fontId="17" fillId="0" borderId="31" xfId="0" applyFont="1" applyFill="1" applyBorder="1" applyAlignment="1" applyProtection="1">
      <alignment horizontal="left" vertical="center" wrapText="1"/>
      <protection hidden="1"/>
    </xf>
    <xf numFmtId="0" fontId="17" fillId="0" borderId="32" xfId="0" applyFont="1" applyFill="1" applyBorder="1" applyAlignment="1" applyProtection="1">
      <alignment horizontal="left" vertical="center" wrapText="1"/>
      <protection hidden="1"/>
    </xf>
    <xf numFmtId="0" fontId="17" fillId="0" borderId="33" xfId="0" applyFont="1" applyFill="1" applyBorder="1" applyAlignment="1" applyProtection="1">
      <alignment horizontal="center" vertical="center" wrapText="1" shrinkToFit="1"/>
      <protection hidden="1"/>
    </xf>
    <xf numFmtId="0" fontId="17" fillId="0" borderId="34" xfId="0" applyFont="1" applyFill="1" applyBorder="1" applyAlignment="1" applyProtection="1">
      <alignment horizontal="center" vertical="center" wrapText="1" shrinkToFit="1"/>
      <protection hidden="1"/>
    </xf>
    <xf numFmtId="0" fontId="17" fillId="0" borderId="31" xfId="0" applyFont="1" applyFill="1" applyBorder="1" applyAlignment="1" applyProtection="1">
      <alignment horizontal="center" vertical="center" wrapText="1" shrinkToFit="1"/>
      <protection hidden="1"/>
    </xf>
    <xf numFmtId="0" fontId="17" fillId="0" borderId="32" xfId="0" applyFont="1" applyFill="1" applyBorder="1" applyAlignment="1" applyProtection="1">
      <alignment horizontal="center" vertical="center" wrapText="1" shrinkToFit="1"/>
      <protection hidden="1"/>
    </xf>
    <xf numFmtId="0" fontId="17" fillId="0" borderId="35" xfId="0" applyFont="1" applyFill="1" applyBorder="1" applyAlignment="1" applyProtection="1">
      <alignment horizontal="center" vertical="center" wrapText="1" shrinkToFit="1"/>
      <protection hidden="1"/>
    </xf>
    <xf numFmtId="0" fontId="17" fillId="0" borderId="36" xfId="0" applyFont="1" applyFill="1" applyBorder="1" applyAlignment="1" applyProtection="1">
      <alignment horizontal="center" vertical="center" wrapText="1" shrinkToFit="1"/>
      <protection hidden="1"/>
    </xf>
    <xf numFmtId="0" fontId="17" fillId="2" borderId="37" xfId="0" applyFont="1" applyFill="1" applyBorder="1" applyAlignment="1" applyProtection="1">
      <alignment horizontal="center" vertical="center"/>
      <protection hidden="1"/>
    </xf>
    <xf numFmtId="0" fontId="17" fillId="7" borderId="63" xfId="0" applyFont="1" applyFill="1" applyBorder="1" applyAlignment="1" applyProtection="1">
      <alignment horizontal="center" vertical="center"/>
      <protection hidden="1"/>
    </xf>
    <xf numFmtId="0" fontId="17" fillId="7" borderId="64" xfId="0" applyFont="1" applyFill="1" applyBorder="1" applyAlignment="1" applyProtection="1">
      <alignment horizontal="center" vertical="center"/>
      <protection hidden="1"/>
    </xf>
    <xf numFmtId="0" fontId="17" fillId="7" borderId="33" xfId="0" applyFont="1" applyFill="1" applyBorder="1" applyAlignment="1" applyProtection="1">
      <alignment horizontal="center" vertical="center"/>
      <protection hidden="1"/>
    </xf>
    <xf numFmtId="0" fontId="17" fillId="7" borderId="34" xfId="0" applyFont="1" applyFill="1" applyBorder="1" applyAlignment="1" applyProtection="1">
      <alignment horizontal="center" vertical="center"/>
      <protection hidden="1"/>
    </xf>
    <xf numFmtId="0" fontId="17" fillId="7" borderId="35" xfId="0" applyFont="1" applyFill="1" applyBorder="1" applyAlignment="1" applyProtection="1">
      <alignment horizontal="center" vertical="center"/>
      <protection hidden="1"/>
    </xf>
    <xf numFmtId="0" fontId="17" fillId="7" borderId="36" xfId="0" applyFont="1" applyFill="1" applyBorder="1" applyAlignment="1" applyProtection="1">
      <alignment horizontal="center" vertical="center"/>
      <protection hidden="1"/>
    </xf>
    <xf numFmtId="0" fontId="17" fillId="7" borderId="33" xfId="0" applyFont="1" applyFill="1" applyBorder="1" applyAlignment="1" applyProtection="1">
      <alignment horizontal="left" vertical="center"/>
      <protection hidden="1"/>
    </xf>
    <xf numFmtId="0" fontId="17" fillId="7" borderId="34" xfId="0" applyFont="1" applyFill="1" applyBorder="1" applyAlignment="1" applyProtection="1">
      <alignment horizontal="left" vertical="center"/>
      <protection hidden="1"/>
    </xf>
    <xf numFmtId="9" fontId="17" fillId="7" borderId="33" xfId="0" applyNumberFormat="1" applyFont="1" applyFill="1" applyBorder="1" applyAlignment="1" applyProtection="1">
      <alignment horizontal="center" vertical="center" shrinkToFit="1"/>
      <protection hidden="1"/>
    </xf>
    <xf numFmtId="9" fontId="17" fillId="7" borderId="34" xfId="0" applyNumberFormat="1" applyFont="1" applyFill="1" applyBorder="1" applyAlignment="1" applyProtection="1">
      <alignment horizontal="center" vertical="center" shrinkToFit="1"/>
      <protection hidden="1"/>
    </xf>
    <xf numFmtId="164" fontId="17" fillId="0" borderId="1" xfId="0" applyNumberFormat="1" applyFont="1" applyFill="1" applyBorder="1" applyAlignment="1" applyProtection="1">
      <alignment horizontal="center" vertical="center"/>
      <protection hidden="1"/>
    </xf>
    <xf numFmtId="0" fontId="17" fillId="7" borderId="61" xfId="0" applyFont="1" applyFill="1" applyBorder="1" applyAlignment="1" applyProtection="1">
      <alignment horizontal="center" vertical="center"/>
      <protection hidden="1"/>
    </xf>
    <xf numFmtId="0" fontId="17" fillId="7" borderId="62" xfId="0" applyFont="1" applyFill="1" applyBorder="1" applyAlignment="1" applyProtection="1">
      <alignment horizontal="center" vertical="center"/>
      <protection hidden="1"/>
    </xf>
    <xf numFmtId="0" fontId="17" fillId="2" borderId="38" xfId="0" applyFont="1" applyFill="1" applyBorder="1" applyAlignment="1" applyProtection="1">
      <alignment horizontal="center" vertical="center" wrapText="1"/>
      <protection hidden="1"/>
    </xf>
    <xf numFmtId="0" fontId="17" fillId="2" borderId="39" xfId="0" applyFont="1" applyFill="1" applyBorder="1" applyAlignment="1" applyProtection="1">
      <alignment horizontal="center" vertical="center" wrapText="1"/>
      <protection hidden="1"/>
    </xf>
    <xf numFmtId="0" fontId="17" fillId="2" borderId="40" xfId="0" applyFont="1" applyFill="1" applyBorder="1" applyAlignment="1" applyProtection="1">
      <alignment horizontal="center" vertical="center"/>
      <protection hidden="1"/>
    </xf>
    <xf numFmtId="9" fontId="17" fillId="0" borderId="38" xfId="0" applyNumberFormat="1" applyFont="1" applyFill="1" applyBorder="1" applyAlignment="1" applyProtection="1">
      <alignment horizontal="center" vertical="center"/>
      <protection hidden="1"/>
    </xf>
    <xf numFmtId="0" fontId="17" fillId="0" borderId="39" xfId="0" applyFont="1" applyFill="1" applyBorder="1" applyAlignment="1" applyProtection="1">
      <alignment horizontal="center" vertical="center"/>
      <protection hidden="1"/>
    </xf>
    <xf numFmtId="9" fontId="17" fillId="7" borderId="38" xfId="0" applyNumberFormat="1" applyFont="1" applyFill="1" applyBorder="1" applyAlignment="1" applyProtection="1">
      <alignment horizontal="center" vertical="center" shrinkToFit="1"/>
      <protection hidden="1"/>
    </xf>
    <xf numFmtId="9" fontId="17" fillId="7" borderId="39" xfId="0" applyNumberFormat="1" applyFont="1" applyFill="1" applyBorder="1" applyAlignment="1" applyProtection="1">
      <alignment horizontal="center" vertical="center" shrinkToFit="1"/>
      <protection hidden="1"/>
    </xf>
    <xf numFmtId="9" fontId="17" fillId="0" borderId="33" xfId="0" applyNumberFormat="1" applyFont="1" applyFill="1" applyBorder="1" applyAlignment="1" applyProtection="1">
      <alignment horizontal="center" vertical="center" wrapText="1"/>
      <protection hidden="1"/>
    </xf>
    <xf numFmtId="9" fontId="17" fillId="0" borderId="34" xfId="0" applyNumberFormat="1" applyFont="1" applyFill="1" applyBorder="1" applyAlignment="1" applyProtection="1">
      <alignment horizontal="center" vertical="center" wrapText="1"/>
      <protection hidden="1"/>
    </xf>
    <xf numFmtId="9" fontId="17" fillId="0" borderId="35" xfId="0" applyNumberFormat="1" applyFont="1" applyFill="1" applyBorder="1" applyAlignment="1" applyProtection="1">
      <alignment horizontal="center" vertical="center" wrapText="1"/>
      <protection hidden="1"/>
    </xf>
    <xf numFmtId="9" fontId="17" fillId="0" borderId="36" xfId="0" applyNumberFormat="1" applyFont="1" applyFill="1" applyBorder="1" applyAlignment="1" applyProtection="1">
      <alignment horizontal="center" vertical="center" wrapText="1"/>
      <protection hidden="1"/>
    </xf>
    <xf numFmtId="0" fontId="17" fillId="7" borderId="33" xfId="0" applyFont="1" applyFill="1" applyBorder="1" applyAlignment="1" applyProtection="1">
      <alignment horizontal="center" vertical="center" wrapText="1" shrinkToFit="1"/>
      <protection hidden="1"/>
    </xf>
    <xf numFmtId="0" fontId="17" fillId="7" borderId="34" xfId="0" applyFont="1" applyFill="1" applyBorder="1" applyAlignment="1" applyProtection="1">
      <alignment horizontal="center" vertical="center" wrapText="1" shrinkToFit="1"/>
      <protection hidden="1"/>
    </xf>
    <xf numFmtId="0" fontId="17" fillId="7" borderId="31" xfId="0" applyFont="1" applyFill="1" applyBorder="1" applyAlignment="1" applyProtection="1">
      <alignment horizontal="center" vertical="center" wrapText="1" shrinkToFit="1"/>
      <protection hidden="1"/>
    </xf>
    <xf numFmtId="0" fontId="17" fillId="7" borderId="32" xfId="0" applyFont="1" applyFill="1" applyBorder="1" applyAlignment="1" applyProtection="1">
      <alignment horizontal="center" vertical="center" wrapText="1" shrinkToFit="1"/>
      <protection hidden="1"/>
    </xf>
    <xf numFmtId="0" fontId="17" fillId="7" borderId="47" xfId="0" applyFont="1" applyFill="1" applyBorder="1" applyAlignment="1" applyProtection="1">
      <alignment horizontal="center" vertical="center" wrapText="1" shrinkToFit="1"/>
      <protection hidden="1"/>
    </xf>
    <xf numFmtId="0" fontId="17" fillId="7" borderId="48" xfId="0" applyFont="1" applyFill="1" applyBorder="1" applyAlignment="1" applyProtection="1">
      <alignment horizontal="center" vertical="center" wrapText="1" shrinkToFit="1"/>
      <protection hidden="1"/>
    </xf>
    <xf numFmtId="9" fontId="17" fillId="7" borderId="31" xfId="0" applyNumberFormat="1" applyFont="1" applyFill="1" applyBorder="1" applyAlignment="1" applyProtection="1">
      <alignment horizontal="center" vertical="center" wrapText="1"/>
      <protection hidden="1"/>
    </xf>
    <xf numFmtId="0" fontId="17" fillId="7" borderId="32" xfId="0" applyFont="1" applyFill="1" applyBorder="1" applyAlignment="1" applyProtection="1">
      <alignment horizontal="center" vertical="center" wrapText="1"/>
      <protection hidden="1"/>
    </xf>
    <xf numFmtId="0" fontId="17" fillId="9" borderId="35" xfId="0" applyFont="1" applyFill="1" applyBorder="1" applyAlignment="1" applyProtection="1">
      <alignment horizontal="center" vertical="center" wrapText="1"/>
      <protection hidden="1"/>
    </xf>
    <xf numFmtId="0" fontId="17" fillId="9" borderId="36" xfId="0" applyFont="1" applyFill="1" applyBorder="1" applyAlignment="1" applyProtection="1">
      <alignment horizontal="center" vertical="center" wrapText="1"/>
      <protection hidden="1"/>
    </xf>
    <xf numFmtId="0" fontId="17" fillId="0" borderId="35" xfId="0" applyFont="1" applyFill="1" applyBorder="1" applyAlignment="1" applyProtection="1">
      <alignment horizontal="left" vertical="center" wrapText="1"/>
      <protection hidden="1"/>
    </xf>
    <xf numFmtId="0" fontId="17" fillId="0" borderId="36" xfId="0" applyFont="1" applyFill="1" applyBorder="1" applyAlignment="1" applyProtection="1">
      <alignment horizontal="left" vertical="center" wrapText="1"/>
      <protection hidden="1"/>
    </xf>
    <xf numFmtId="9" fontId="17" fillId="2" borderId="38" xfId="0" applyNumberFormat="1" applyFont="1" applyFill="1" applyBorder="1" applyAlignment="1" applyProtection="1">
      <alignment horizontal="center" vertical="center"/>
      <protection hidden="1"/>
    </xf>
    <xf numFmtId="9" fontId="17" fillId="2" borderId="39" xfId="0" applyNumberFormat="1" applyFont="1" applyFill="1" applyBorder="1" applyAlignment="1" applyProtection="1">
      <alignment horizontal="center" vertical="center"/>
      <protection hidden="1"/>
    </xf>
    <xf numFmtId="164" fontId="17" fillId="0" borderId="33" xfId="0" applyNumberFormat="1" applyFont="1" applyFill="1" applyBorder="1" applyAlignment="1" applyProtection="1">
      <alignment horizontal="center" vertical="center" shrinkToFit="1"/>
      <protection hidden="1"/>
    </xf>
    <xf numFmtId="164" fontId="17" fillId="0" borderId="34" xfId="0" applyNumberFormat="1" applyFont="1" applyFill="1" applyBorder="1" applyAlignment="1" applyProtection="1">
      <alignment horizontal="center" vertical="center" shrinkToFit="1"/>
      <protection hidden="1"/>
    </xf>
    <xf numFmtId="9" fontId="17" fillId="0" borderId="39" xfId="0" applyNumberFormat="1" applyFont="1" applyFill="1" applyBorder="1" applyAlignment="1" applyProtection="1">
      <alignment horizontal="center" vertical="center"/>
      <protection hidden="1"/>
    </xf>
    <xf numFmtId="9" fontId="17" fillId="0" borderId="38" xfId="0" applyNumberFormat="1" applyFont="1" applyFill="1" applyBorder="1" applyAlignment="1" applyProtection="1">
      <alignment horizontal="center" vertical="center" shrinkToFit="1"/>
      <protection hidden="1"/>
    </xf>
    <xf numFmtId="9" fontId="17" fillId="0" borderId="39" xfId="0" applyNumberFormat="1" applyFont="1" applyFill="1" applyBorder="1" applyAlignment="1" applyProtection="1">
      <alignment horizontal="center" vertical="center" shrinkToFit="1"/>
      <protection hidden="1"/>
    </xf>
    <xf numFmtId="0" fontId="17" fillId="7" borderId="33" xfId="0" applyFont="1" applyFill="1" applyBorder="1" applyAlignment="1" applyProtection="1">
      <alignment horizontal="left" vertical="center" wrapText="1" shrinkToFit="1"/>
      <protection hidden="1"/>
    </xf>
    <xf numFmtId="0" fontId="17" fillId="7" borderId="34" xfId="0" applyFont="1" applyFill="1" applyBorder="1" applyAlignment="1" applyProtection="1">
      <alignment horizontal="left" vertical="center" wrapText="1" shrinkToFit="1"/>
      <protection hidden="1"/>
    </xf>
    <xf numFmtId="0" fontId="17" fillId="7" borderId="31" xfId="0" applyFont="1" applyFill="1" applyBorder="1" applyAlignment="1" applyProtection="1">
      <alignment horizontal="left" vertical="center" wrapText="1" shrinkToFit="1"/>
      <protection hidden="1"/>
    </xf>
    <xf numFmtId="0" fontId="17" fillId="7" borderId="32" xfId="0" applyFont="1" applyFill="1" applyBorder="1" applyAlignment="1" applyProtection="1">
      <alignment horizontal="left" vertical="center" wrapText="1" shrinkToFit="1"/>
      <protection hidden="1"/>
    </xf>
    <xf numFmtId="0" fontId="17" fillId="7" borderId="35" xfId="0" applyFont="1" applyFill="1" applyBorder="1" applyAlignment="1" applyProtection="1">
      <alignment horizontal="left" vertical="center" wrapText="1" shrinkToFit="1"/>
      <protection hidden="1"/>
    </xf>
    <xf numFmtId="0" fontId="17" fillId="7" borderId="36" xfId="0" applyFont="1" applyFill="1" applyBorder="1" applyAlignment="1" applyProtection="1">
      <alignment horizontal="left" vertical="center" wrapText="1" shrinkToFit="1"/>
      <protection hidden="1"/>
    </xf>
    <xf numFmtId="9" fontId="17" fillId="0" borderId="1" xfId="0" applyNumberFormat="1" applyFont="1" applyFill="1" applyBorder="1" applyAlignment="1" applyProtection="1">
      <alignment horizontal="center" vertical="center"/>
      <protection hidden="1"/>
    </xf>
    <xf numFmtId="9" fontId="17" fillId="0" borderId="33" xfId="0" applyNumberFormat="1" applyFont="1" applyFill="1" applyBorder="1" applyAlignment="1" applyProtection="1">
      <alignment horizontal="center" vertical="center" shrinkToFit="1"/>
      <protection hidden="1"/>
    </xf>
    <xf numFmtId="9" fontId="17" fillId="0" borderId="34" xfId="0" applyNumberFormat="1" applyFont="1" applyFill="1" applyBorder="1" applyAlignment="1" applyProtection="1">
      <alignment horizontal="center" vertical="center" shrinkToFit="1"/>
      <protection hidden="1"/>
    </xf>
    <xf numFmtId="0" fontId="17" fillId="0" borderId="31" xfId="0" applyFont="1" applyFill="1" applyBorder="1" applyAlignment="1" applyProtection="1">
      <alignment horizontal="left" vertical="center"/>
      <protection hidden="1"/>
    </xf>
    <xf numFmtId="0" fontId="17" fillId="0" borderId="32" xfId="0" applyFont="1" applyFill="1" applyBorder="1" applyAlignment="1" applyProtection="1">
      <alignment horizontal="left" vertical="center"/>
      <protection hidden="1"/>
    </xf>
    <xf numFmtId="0" fontId="17" fillId="0" borderId="31" xfId="0" applyFont="1" applyFill="1" applyBorder="1" applyAlignment="1" applyProtection="1">
      <alignment horizontal="center" vertical="center" shrinkToFit="1"/>
      <protection hidden="1"/>
    </xf>
    <xf numFmtId="0" fontId="17" fillId="0" borderId="32" xfId="0" applyFont="1" applyFill="1" applyBorder="1" applyAlignment="1" applyProtection="1">
      <alignment horizontal="center" vertical="center" shrinkToFit="1"/>
      <protection hidden="1"/>
    </xf>
    <xf numFmtId="164" fontId="17" fillId="7" borderId="38" xfId="0" applyNumberFormat="1" applyFont="1" applyFill="1" applyBorder="1" applyAlignment="1" applyProtection="1">
      <alignment horizontal="center" vertical="center"/>
      <protection hidden="1"/>
    </xf>
    <xf numFmtId="0" fontId="17" fillId="9" borderId="33" xfId="0" applyFont="1" applyFill="1" applyBorder="1" applyAlignment="1" applyProtection="1">
      <alignment horizontal="left" vertical="center" wrapText="1"/>
      <protection hidden="1"/>
    </xf>
    <xf numFmtId="0" fontId="17" fillId="9" borderId="34" xfId="0" applyFont="1" applyFill="1" applyBorder="1" applyAlignment="1" applyProtection="1">
      <alignment horizontal="left" vertical="center" wrapText="1"/>
      <protection hidden="1"/>
    </xf>
    <xf numFmtId="0" fontId="17" fillId="9" borderId="35" xfId="0" applyFont="1" applyFill="1" applyBorder="1" applyAlignment="1" applyProtection="1">
      <alignment horizontal="left" vertical="center" wrapText="1"/>
      <protection hidden="1"/>
    </xf>
    <xf numFmtId="0" fontId="17" fillId="9" borderId="36" xfId="0" applyFont="1" applyFill="1" applyBorder="1" applyAlignment="1" applyProtection="1">
      <alignment horizontal="left" vertical="center" wrapText="1"/>
      <protection hidden="1"/>
    </xf>
    <xf numFmtId="164" fontId="17" fillId="9" borderId="33" xfId="0" applyNumberFormat="1" applyFont="1" applyFill="1" applyBorder="1" applyAlignment="1" applyProtection="1">
      <alignment horizontal="center" vertical="center"/>
      <protection hidden="1"/>
    </xf>
    <xf numFmtId="164" fontId="17" fillId="9" borderId="34" xfId="0" applyNumberFormat="1" applyFont="1" applyFill="1" applyBorder="1" applyAlignment="1" applyProtection="1">
      <alignment horizontal="center" vertical="center"/>
      <protection hidden="1"/>
    </xf>
    <xf numFmtId="164" fontId="17" fillId="9" borderId="35" xfId="0" applyNumberFormat="1" applyFont="1" applyFill="1" applyBorder="1" applyAlignment="1" applyProtection="1">
      <alignment horizontal="center" vertical="center"/>
      <protection hidden="1"/>
    </xf>
    <xf numFmtId="164" fontId="17" fillId="9" borderId="36" xfId="0" applyNumberFormat="1" applyFont="1" applyFill="1" applyBorder="1" applyAlignment="1" applyProtection="1">
      <alignment horizontal="center" vertical="center"/>
      <protection hidden="1"/>
    </xf>
    <xf numFmtId="0" fontId="17" fillId="7" borderId="31" xfId="0" applyFont="1" applyFill="1" applyBorder="1" applyAlignment="1" applyProtection="1">
      <alignment horizontal="left" vertical="center"/>
      <protection hidden="1"/>
    </xf>
    <xf numFmtId="0" fontId="17" fillId="7" borderId="32" xfId="0" applyFont="1" applyFill="1" applyBorder="1" applyAlignment="1" applyProtection="1">
      <alignment horizontal="left" vertical="center"/>
      <protection hidden="1"/>
    </xf>
    <xf numFmtId="0" fontId="17" fillId="7" borderId="35" xfId="0" applyFont="1" applyFill="1" applyBorder="1" applyAlignment="1" applyProtection="1">
      <alignment horizontal="left" vertical="center"/>
      <protection hidden="1"/>
    </xf>
    <xf numFmtId="0" fontId="17" fillId="7" borderId="36" xfId="0" applyFont="1" applyFill="1" applyBorder="1" applyAlignment="1" applyProtection="1">
      <alignment horizontal="left" vertical="center"/>
      <protection hidden="1"/>
    </xf>
    <xf numFmtId="0" fontId="17" fillId="7" borderId="31" xfId="0" applyFont="1" applyFill="1" applyBorder="1" applyAlignment="1" applyProtection="1">
      <alignment horizontal="center" vertical="center" wrapText="1"/>
      <protection hidden="1"/>
    </xf>
    <xf numFmtId="164" fontId="17" fillId="9" borderId="33" xfId="0" applyNumberFormat="1" applyFont="1" applyFill="1" applyBorder="1" applyAlignment="1" applyProtection="1">
      <alignment horizontal="center" vertical="center" wrapText="1"/>
      <protection hidden="1"/>
    </xf>
    <xf numFmtId="164" fontId="17" fillId="9" borderId="34" xfId="0" applyNumberFormat="1" applyFont="1" applyFill="1" applyBorder="1" applyAlignment="1" applyProtection="1">
      <alignment horizontal="center" vertical="center" wrapText="1"/>
      <protection hidden="1"/>
    </xf>
    <xf numFmtId="164" fontId="17" fillId="9" borderId="35" xfId="0" applyNumberFormat="1" applyFont="1" applyFill="1" applyBorder="1" applyAlignment="1" applyProtection="1">
      <alignment horizontal="center" vertical="center" wrapText="1"/>
      <protection hidden="1"/>
    </xf>
    <xf numFmtId="164" fontId="17" fillId="9" borderId="36" xfId="0" applyNumberFormat="1" applyFont="1" applyFill="1" applyBorder="1" applyAlignment="1" applyProtection="1">
      <alignment horizontal="center" vertical="center" wrapText="1"/>
      <protection hidden="1"/>
    </xf>
    <xf numFmtId="0" fontId="17" fillId="7" borderId="31" xfId="0" applyFont="1" applyFill="1" applyBorder="1" applyAlignment="1" applyProtection="1">
      <alignment horizontal="center" vertical="center"/>
      <protection hidden="1"/>
    </xf>
    <xf numFmtId="0" fontId="17" fillId="7" borderId="32" xfId="0" applyFont="1" applyFill="1" applyBorder="1" applyAlignment="1" applyProtection="1">
      <alignment horizontal="center" vertical="center"/>
      <protection hidden="1"/>
    </xf>
    <xf numFmtId="0" fontId="8" fillId="0" borderId="71" xfId="0" applyFont="1" applyBorder="1" applyAlignment="1">
      <alignment horizontal="center" vertical="center"/>
    </xf>
    <xf numFmtId="0" fontId="8" fillId="0" borderId="72" xfId="0" applyFont="1" applyBorder="1" applyAlignment="1">
      <alignment horizontal="center" vertical="center"/>
    </xf>
    <xf numFmtId="165" fontId="18" fillId="0" borderId="41" xfId="0" applyNumberFormat="1" applyFont="1" applyBorder="1" applyAlignment="1" applyProtection="1">
      <alignment horizontal="left" vertical="center"/>
      <protection hidden="1"/>
    </xf>
    <xf numFmtId="165" fontId="18" fillId="0" borderId="42" xfId="0" applyNumberFormat="1" applyFont="1" applyBorder="1" applyAlignment="1" applyProtection="1">
      <alignment horizontal="left" vertical="center"/>
      <protection hidden="1"/>
    </xf>
    <xf numFmtId="0" fontId="12" fillId="4" borderId="54" xfId="0" applyFont="1" applyFill="1" applyBorder="1" applyAlignment="1" applyProtection="1">
      <alignment horizontal="center"/>
      <protection hidden="1"/>
    </xf>
    <xf numFmtId="0" fontId="12" fillId="4" borderId="58" xfId="0" applyFont="1" applyFill="1" applyBorder="1" applyAlignment="1" applyProtection="1">
      <alignment horizontal="center"/>
      <protection hidden="1"/>
    </xf>
    <xf numFmtId="165" fontId="18" fillId="0" borderId="51" xfId="0" applyNumberFormat="1" applyFont="1" applyBorder="1" applyAlignment="1" applyProtection="1">
      <alignment horizontal="left" vertical="center"/>
      <protection hidden="1"/>
    </xf>
    <xf numFmtId="165" fontId="18" fillId="0" borderId="52" xfId="0" applyNumberFormat="1" applyFont="1" applyBorder="1" applyAlignment="1" applyProtection="1">
      <alignment horizontal="left" vertical="center"/>
      <protection hidden="1"/>
    </xf>
    <xf numFmtId="165" fontId="18" fillId="7" borderId="41" xfId="0" applyNumberFormat="1" applyFont="1" applyFill="1" applyBorder="1" applyAlignment="1" applyProtection="1">
      <alignment horizontal="left" vertical="center"/>
      <protection hidden="1"/>
    </xf>
    <xf numFmtId="165" fontId="18" fillId="7" borderId="42" xfId="0" applyNumberFormat="1" applyFont="1" applyFill="1" applyBorder="1" applyAlignment="1" applyProtection="1">
      <alignment horizontal="left" vertical="center"/>
      <protection hidden="1"/>
    </xf>
    <xf numFmtId="0" fontId="12" fillId="4" borderId="55" xfId="0" applyFont="1" applyFill="1" applyBorder="1" applyAlignment="1" applyProtection="1">
      <alignment horizontal="center"/>
      <protection hidden="1"/>
    </xf>
    <xf numFmtId="0" fontId="12" fillId="4" borderId="56" xfId="0" applyFont="1" applyFill="1" applyBorder="1" applyAlignment="1" applyProtection="1">
      <alignment horizontal="center"/>
      <protection hidden="1"/>
    </xf>
    <xf numFmtId="0" fontId="12" fillId="5" borderId="43" xfId="0" applyFont="1" applyFill="1" applyBorder="1" applyAlignment="1" applyProtection="1">
      <alignment horizontal="center" vertical="center"/>
      <protection hidden="1"/>
    </xf>
    <xf numFmtId="0" fontId="12" fillId="5" borderId="42" xfId="0" applyFont="1" applyFill="1" applyBorder="1" applyAlignment="1" applyProtection="1">
      <alignment horizontal="center" vertical="center"/>
      <protection hidden="1"/>
    </xf>
    <xf numFmtId="0" fontId="13" fillId="8" borderId="44" xfId="0" applyFont="1" applyFill="1" applyBorder="1" applyAlignment="1" applyProtection="1">
      <alignment horizontal="center"/>
    </xf>
    <xf numFmtId="0" fontId="13" fillId="8" borderId="45" xfId="0" applyFont="1" applyFill="1" applyBorder="1" applyAlignment="1" applyProtection="1">
      <alignment horizontal="center"/>
    </xf>
    <xf numFmtId="0" fontId="13" fillId="8" borderId="46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25" xfId="0" applyFont="1" applyFill="1" applyBorder="1" applyAlignment="1" applyProtection="1">
      <alignment horizontal="center"/>
    </xf>
    <xf numFmtId="0" fontId="15" fillId="0" borderId="26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3" fillId="10" borderId="26" xfId="0" applyFont="1" applyFill="1" applyBorder="1" applyAlignment="1" applyProtection="1">
      <alignment horizontal="center"/>
    </xf>
    <xf numFmtId="0" fontId="13" fillId="10" borderId="0" xfId="0" applyFont="1" applyFill="1" applyBorder="1" applyAlignment="1" applyProtection="1">
      <alignment horizontal="center"/>
    </xf>
    <xf numFmtId="0" fontId="13" fillId="10" borderId="25" xfId="0" applyFont="1" applyFill="1" applyBorder="1" applyAlignment="1" applyProtection="1">
      <alignment horizontal="center"/>
    </xf>
    <xf numFmtId="0" fontId="15" fillId="10" borderId="26" xfId="0" applyFont="1" applyFill="1" applyBorder="1" applyAlignment="1" applyProtection="1">
      <alignment horizontal="center"/>
    </xf>
    <xf numFmtId="0" fontId="15" fillId="10" borderId="0" xfId="0" applyFont="1" applyFill="1" applyBorder="1" applyAlignment="1" applyProtection="1">
      <alignment horizontal="center"/>
    </xf>
    <xf numFmtId="0" fontId="13" fillId="10" borderId="44" xfId="0" applyFont="1" applyFill="1" applyBorder="1" applyAlignment="1" applyProtection="1">
      <alignment horizontal="center"/>
    </xf>
    <xf numFmtId="0" fontId="13" fillId="10" borderId="45" xfId="0" applyFont="1" applyFill="1" applyBorder="1" applyAlignment="1" applyProtection="1">
      <alignment horizontal="center"/>
    </xf>
    <xf numFmtId="0" fontId="13" fillId="10" borderId="46" xfId="0" applyFont="1" applyFill="1" applyBorder="1" applyAlignment="1" applyProtection="1">
      <alignment horizontal="center"/>
    </xf>
  </cellXfs>
  <cellStyles count="362">
    <cellStyle name="Comma 2" xfId="361"/>
    <cellStyle name="Comma 2 10" xfId="29"/>
    <cellStyle name="Comma 2 100" xfId="296"/>
    <cellStyle name="Comma 2 101" xfId="299"/>
    <cellStyle name="Comma 2 102" xfId="302"/>
    <cellStyle name="Comma 2 103" xfId="305"/>
    <cellStyle name="Comma 2 104" xfId="308"/>
    <cellStyle name="Comma 2 105" xfId="311"/>
    <cellStyle name="Comma 2 106" xfId="314"/>
    <cellStyle name="Comma 2 107" xfId="317"/>
    <cellStyle name="Comma 2 108" xfId="320"/>
    <cellStyle name="Comma 2 109" xfId="323"/>
    <cellStyle name="Comma 2 11" xfId="32"/>
    <cellStyle name="Comma 2 110" xfId="326"/>
    <cellStyle name="Comma 2 111" xfId="329"/>
    <cellStyle name="Comma 2 112" xfId="332"/>
    <cellStyle name="Comma 2 113" xfId="335"/>
    <cellStyle name="Comma 2 114" xfId="338"/>
    <cellStyle name="Comma 2 115" xfId="341"/>
    <cellStyle name="Comma 2 116" xfId="344"/>
    <cellStyle name="Comma 2 117" xfId="347"/>
    <cellStyle name="Comma 2 118" xfId="350"/>
    <cellStyle name="Comma 2 119" xfId="353"/>
    <cellStyle name="Comma 2 12" xfId="35"/>
    <cellStyle name="Comma 2 120" xfId="356"/>
    <cellStyle name="Comma 2 13" xfId="38"/>
    <cellStyle name="Comma 2 14" xfId="41"/>
    <cellStyle name="Comma 2 15" xfId="44"/>
    <cellStyle name="Comma 2 16" xfId="47"/>
    <cellStyle name="Comma 2 17" xfId="50"/>
    <cellStyle name="Comma 2 18" xfId="53"/>
    <cellStyle name="Comma 2 19" xfId="56"/>
    <cellStyle name="Comma 2 2" xfId="5"/>
    <cellStyle name="Comma 2 20" xfId="59"/>
    <cellStyle name="Comma 2 21" xfId="62"/>
    <cellStyle name="Comma 2 22" xfId="65"/>
    <cellStyle name="Comma 2 23" xfId="68"/>
    <cellStyle name="Comma 2 24" xfId="71"/>
    <cellStyle name="Comma 2 25" xfId="74"/>
    <cellStyle name="Comma 2 26" xfId="77"/>
    <cellStyle name="Comma 2 27" xfId="80"/>
    <cellStyle name="Comma 2 28" xfId="83"/>
    <cellStyle name="Comma 2 29" xfId="86"/>
    <cellStyle name="Comma 2 3" xfId="8"/>
    <cellStyle name="Comma 2 30" xfId="89"/>
    <cellStyle name="Comma 2 31" xfId="92"/>
    <cellStyle name="Comma 2 32" xfId="95"/>
    <cellStyle name="Comma 2 33" xfId="98"/>
    <cellStyle name="Comma 2 34" xfId="101"/>
    <cellStyle name="Comma 2 35" xfId="104"/>
    <cellStyle name="Comma 2 36" xfId="107"/>
    <cellStyle name="Comma 2 37" xfId="110"/>
    <cellStyle name="Comma 2 38" xfId="113"/>
    <cellStyle name="Comma 2 39" xfId="116"/>
    <cellStyle name="Comma 2 4" xfId="11"/>
    <cellStyle name="Comma 2 40" xfId="119"/>
    <cellStyle name="Comma 2 41" xfId="122"/>
    <cellStyle name="Comma 2 42" xfId="125"/>
    <cellStyle name="Comma 2 43" xfId="128"/>
    <cellStyle name="Comma 2 44" xfId="131"/>
    <cellStyle name="Comma 2 45" xfId="134"/>
    <cellStyle name="Comma 2 46" xfId="137"/>
    <cellStyle name="Comma 2 47" xfId="140"/>
    <cellStyle name="Comma 2 48" xfId="143"/>
    <cellStyle name="Comma 2 49" xfId="146"/>
    <cellStyle name="Comma 2 5" xfId="14"/>
    <cellStyle name="Comma 2 50" xfId="149"/>
    <cellStyle name="Comma 2 51" xfId="152"/>
    <cellStyle name="Comma 2 52" xfId="154"/>
    <cellStyle name="Comma 2 53" xfId="156"/>
    <cellStyle name="Comma 2 54" xfId="159"/>
    <cellStyle name="Comma 2 55" xfId="162"/>
    <cellStyle name="Comma 2 56" xfId="165"/>
    <cellStyle name="Comma 2 57" xfId="168"/>
    <cellStyle name="Comma 2 58" xfId="171"/>
    <cellStyle name="Comma 2 59" xfId="174"/>
    <cellStyle name="Comma 2 6" xfId="17"/>
    <cellStyle name="Comma 2 60" xfId="177"/>
    <cellStyle name="Comma 2 61" xfId="180"/>
    <cellStyle name="Comma 2 62" xfId="183"/>
    <cellStyle name="Comma 2 63" xfId="186"/>
    <cellStyle name="Comma 2 64" xfId="188"/>
    <cellStyle name="Comma 2 65" xfId="191"/>
    <cellStyle name="Comma 2 66" xfId="194"/>
    <cellStyle name="Comma 2 67" xfId="197"/>
    <cellStyle name="Comma 2 68" xfId="200"/>
    <cellStyle name="Comma 2 69" xfId="203"/>
    <cellStyle name="Comma 2 7" xfId="20"/>
    <cellStyle name="Comma 2 70" xfId="206"/>
    <cellStyle name="Comma 2 71" xfId="209"/>
    <cellStyle name="Comma 2 72" xfId="212"/>
    <cellStyle name="Comma 2 73" xfId="215"/>
    <cellStyle name="Comma 2 74" xfId="218"/>
    <cellStyle name="Comma 2 75" xfId="221"/>
    <cellStyle name="Comma 2 76" xfId="224"/>
    <cellStyle name="Comma 2 77" xfId="227"/>
    <cellStyle name="Comma 2 78" xfId="230"/>
    <cellStyle name="Comma 2 79" xfId="233"/>
    <cellStyle name="Comma 2 8" xfId="23"/>
    <cellStyle name="Comma 2 80" xfId="236"/>
    <cellStyle name="Comma 2 81" xfId="239"/>
    <cellStyle name="Comma 2 82" xfId="242"/>
    <cellStyle name="Comma 2 83" xfId="245"/>
    <cellStyle name="Comma 2 84" xfId="248"/>
    <cellStyle name="Comma 2 85" xfId="251"/>
    <cellStyle name="Comma 2 86" xfId="254"/>
    <cellStyle name="Comma 2 87" xfId="257"/>
    <cellStyle name="Comma 2 88" xfId="260"/>
    <cellStyle name="Comma 2 89" xfId="263"/>
    <cellStyle name="Comma 2 9" xfId="26"/>
    <cellStyle name="Comma 2 90" xfId="266"/>
    <cellStyle name="Comma 2 91" xfId="269"/>
    <cellStyle name="Comma 2 92" xfId="272"/>
    <cellStyle name="Comma 2 93" xfId="275"/>
    <cellStyle name="Comma 2 94" xfId="278"/>
    <cellStyle name="Comma 2 95" xfId="281"/>
    <cellStyle name="Comma 2 96" xfId="284"/>
    <cellStyle name="Comma 2 97" xfId="287"/>
    <cellStyle name="Comma 2 98" xfId="290"/>
    <cellStyle name="Comma 2 99" xfId="293"/>
    <cellStyle name="Comma 3" xfId="359"/>
    <cellStyle name="Currency 10" xfId="25"/>
    <cellStyle name="Currency 100" xfId="292"/>
    <cellStyle name="Currency 101" xfId="295"/>
    <cellStyle name="Currency 102" xfId="298"/>
    <cellStyle name="Currency 103" xfId="301"/>
    <cellStyle name="Currency 104" xfId="304"/>
    <cellStyle name="Currency 105" xfId="307"/>
    <cellStyle name="Currency 106" xfId="310"/>
    <cellStyle name="Currency 107" xfId="313"/>
    <cellStyle name="Currency 108" xfId="316"/>
    <cellStyle name="Currency 109" xfId="319"/>
    <cellStyle name="Currency 11" xfId="28"/>
    <cellStyle name="Currency 110" xfId="322"/>
    <cellStyle name="Currency 111" xfId="325"/>
    <cellStyle name="Currency 112" xfId="328"/>
    <cellStyle name="Currency 113" xfId="331"/>
    <cellStyle name="Currency 114" xfId="334"/>
    <cellStyle name="Currency 115" xfId="337"/>
    <cellStyle name="Currency 116" xfId="340"/>
    <cellStyle name="Currency 117" xfId="343"/>
    <cellStyle name="Currency 118" xfId="346"/>
    <cellStyle name="Currency 119" xfId="349"/>
    <cellStyle name="Currency 12" xfId="31"/>
    <cellStyle name="Currency 120" xfId="352"/>
    <cellStyle name="Currency 121" xfId="355"/>
    <cellStyle name="Currency 13" xfId="34"/>
    <cellStyle name="Currency 14" xfId="37"/>
    <cellStyle name="Currency 15" xfId="40"/>
    <cellStyle name="Currency 16" xfId="43"/>
    <cellStyle name="Currency 17" xfId="46"/>
    <cellStyle name="Currency 18" xfId="49"/>
    <cellStyle name="Currency 19" xfId="52"/>
    <cellStyle name="Currency 2" xfId="4"/>
    <cellStyle name="Currency 20" xfId="55"/>
    <cellStyle name="Currency 21" xfId="58"/>
    <cellStyle name="Currency 22" xfId="61"/>
    <cellStyle name="Currency 23" xfId="64"/>
    <cellStyle name="Currency 24" xfId="67"/>
    <cellStyle name="Currency 25" xfId="70"/>
    <cellStyle name="Currency 26" xfId="73"/>
    <cellStyle name="Currency 27" xfId="76"/>
    <cellStyle name="Currency 28" xfId="79"/>
    <cellStyle name="Currency 29" xfId="82"/>
    <cellStyle name="Currency 3" xfId="2"/>
    <cellStyle name="Currency 30" xfId="85"/>
    <cellStyle name="Currency 31" xfId="88"/>
    <cellStyle name="Currency 32" xfId="91"/>
    <cellStyle name="Currency 33" xfId="94"/>
    <cellStyle name="Currency 34" xfId="97"/>
    <cellStyle name="Currency 35" xfId="100"/>
    <cellStyle name="Currency 36" xfId="103"/>
    <cellStyle name="Currency 37" xfId="106"/>
    <cellStyle name="Currency 38" xfId="109"/>
    <cellStyle name="Currency 39" xfId="112"/>
    <cellStyle name="Currency 4" xfId="7"/>
    <cellStyle name="Currency 40" xfId="115"/>
    <cellStyle name="Currency 41" xfId="118"/>
    <cellStyle name="Currency 42" xfId="121"/>
    <cellStyle name="Currency 43" xfId="124"/>
    <cellStyle name="Currency 44" xfId="127"/>
    <cellStyle name="Currency 45" xfId="130"/>
    <cellStyle name="Currency 46" xfId="133"/>
    <cellStyle name="Currency 47" xfId="136"/>
    <cellStyle name="Currency 48" xfId="139"/>
    <cellStyle name="Currency 49" xfId="142"/>
    <cellStyle name="Currency 5" xfId="10"/>
    <cellStyle name="Currency 50" xfId="145"/>
    <cellStyle name="Currency 51" xfId="148"/>
    <cellStyle name="Currency 52" xfId="151"/>
    <cellStyle name="Currency 53" xfId="360"/>
    <cellStyle name="Currency 55" xfId="158"/>
    <cellStyle name="Currency 56" xfId="161"/>
    <cellStyle name="Currency 57" xfId="164"/>
    <cellStyle name="Currency 58" xfId="167"/>
    <cellStyle name="Currency 59" xfId="170"/>
    <cellStyle name="Currency 6" xfId="13"/>
    <cellStyle name="Currency 60" xfId="173"/>
    <cellStyle name="Currency 61" xfId="176"/>
    <cellStyle name="Currency 62" xfId="179"/>
    <cellStyle name="Currency 63" xfId="182"/>
    <cellStyle name="Currency 64" xfId="185"/>
    <cellStyle name="Currency 66" xfId="190"/>
    <cellStyle name="Currency 67" xfId="193"/>
    <cellStyle name="Currency 68" xfId="196"/>
    <cellStyle name="Currency 69" xfId="199"/>
    <cellStyle name="Currency 7" xfId="16"/>
    <cellStyle name="Currency 70" xfId="202"/>
    <cellStyle name="Currency 71" xfId="205"/>
    <cellStyle name="Currency 72" xfId="208"/>
    <cellStyle name="Currency 73" xfId="211"/>
    <cellStyle name="Currency 74" xfId="214"/>
    <cellStyle name="Currency 75" xfId="217"/>
    <cellStyle name="Currency 76" xfId="220"/>
    <cellStyle name="Currency 77" xfId="223"/>
    <cellStyle name="Currency 78" xfId="226"/>
    <cellStyle name="Currency 79" xfId="229"/>
    <cellStyle name="Currency 8" xfId="19"/>
    <cellStyle name="Currency 80" xfId="232"/>
    <cellStyle name="Currency 81" xfId="235"/>
    <cellStyle name="Currency 82" xfId="238"/>
    <cellStyle name="Currency 83" xfId="241"/>
    <cellStyle name="Currency 84" xfId="244"/>
    <cellStyle name="Currency 85" xfId="247"/>
    <cellStyle name="Currency 86" xfId="250"/>
    <cellStyle name="Currency 87" xfId="253"/>
    <cellStyle name="Currency 88" xfId="256"/>
    <cellStyle name="Currency 89" xfId="259"/>
    <cellStyle name="Currency 9" xfId="22"/>
    <cellStyle name="Currency 90" xfId="262"/>
    <cellStyle name="Currency 91" xfId="265"/>
    <cellStyle name="Currency 92" xfId="268"/>
    <cellStyle name="Currency 93" xfId="271"/>
    <cellStyle name="Currency 94" xfId="274"/>
    <cellStyle name="Currency 95" xfId="277"/>
    <cellStyle name="Currency 96" xfId="280"/>
    <cellStyle name="Currency 97" xfId="283"/>
    <cellStyle name="Currency 98" xfId="286"/>
    <cellStyle name="Currency 99" xfId="289"/>
    <cellStyle name="Moneda" xfId="1" builtinId="4"/>
    <cellStyle name="Normal" xfId="0" builtinId="0"/>
    <cellStyle name="Normal 2" xfId="357"/>
    <cellStyle name="Normal 2 10" xfId="27"/>
    <cellStyle name="Normal 2 100" xfId="294"/>
    <cellStyle name="Normal 2 101" xfId="297"/>
    <cellStyle name="Normal 2 102" xfId="300"/>
    <cellStyle name="Normal 2 103" xfId="303"/>
    <cellStyle name="Normal 2 104" xfId="306"/>
    <cellStyle name="Normal 2 105" xfId="309"/>
    <cellStyle name="Normal 2 106" xfId="312"/>
    <cellStyle name="Normal 2 107" xfId="315"/>
    <cellStyle name="Normal 2 108" xfId="318"/>
    <cellStyle name="Normal 2 109" xfId="321"/>
    <cellStyle name="Normal 2 11" xfId="30"/>
    <cellStyle name="Normal 2 110" xfId="324"/>
    <cellStyle name="Normal 2 111" xfId="327"/>
    <cellStyle name="Normal 2 112" xfId="330"/>
    <cellStyle name="Normal 2 113" xfId="333"/>
    <cellStyle name="Normal 2 114" xfId="336"/>
    <cellStyle name="Normal 2 115" xfId="339"/>
    <cellStyle name="Normal 2 116" xfId="342"/>
    <cellStyle name="Normal 2 117" xfId="345"/>
    <cellStyle name="Normal 2 118" xfId="348"/>
    <cellStyle name="Normal 2 119" xfId="351"/>
    <cellStyle name="Normal 2 12" xfId="33"/>
    <cellStyle name="Normal 2 120" xfId="354"/>
    <cellStyle name="Normal 2 13" xfId="36"/>
    <cellStyle name="Normal 2 14" xfId="39"/>
    <cellStyle name="Normal 2 15" xfId="42"/>
    <cellStyle name="Normal 2 16" xfId="45"/>
    <cellStyle name="Normal 2 17" xfId="48"/>
    <cellStyle name="Normal 2 18" xfId="51"/>
    <cellStyle name="Normal 2 19" xfId="54"/>
    <cellStyle name="Normal 2 2" xfId="3"/>
    <cellStyle name="Normal 2 20" xfId="57"/>
    <cellStyle name="Normal 2 21" xfId="60"/>
    <cellStyle name="Normal 2 22" xfId="63"/>
    <cellStyle name="Normal 2 23" xfId="66"/>
    <cellStyle name="Normal 2 24" xfId="69"/>
    <cellStyle name="Normal 2 25" xfId="72"/>
    <cellStyle name="Normal 2 26" xfId="75"/>
    <cellStyle name="Normal 2 27" xfId="78"/>
    <cellStyle name="Normal 2 28" xfId="81"/>
    <cellStyle name="Normal 2 29" xfId="84"/>
    <cellStyle name="Normal 2 3" xfId="6"/>
    <cellStyle name="Normal 2 30" xfId="87"/>
    <cellStyle name="Normal 2 31" xfId="90"/>
    <cellStyle name="Normal 2 32" xfId="93"/>
    <cellStyle name="Normal 2 33" xfId="96"/>
    <cellStyle name="Normal 2 34" xfId="99"/>
    <cellStyle name="Normal 2 35" xfId="102"/>
    <cellStyle name="Normal 2 36" xfId="105"/>
    <cellStyle name="Normal 2 37" xfId="108"/>
    <cellStyle name="Normal 2 38" xfId="111"/>
    <cellStyle name="Normal 2 39" xfId="114"/>
    <cellStyle name="Normal 2 4" xfId="9"/>
    <cellStyle name="Normal 2 40" xfId="117"/>
    <cellStyle name="Normal 2 41" xfId="120"/>
    <cellStyle name="Normal 2 42" xfId="123"/>
    <cellStyle name="Normal 2 43" xfId="126"/>
    <cellStyle name="Normal 2 44" xfId="129"/>
    <cellStyle name="Normal 2 45" xfId="132"/>
    <cellStyle name="Normal 2 46" xfId="135"/>
    <cellStyle name="Normal 2 47" xfId="138"/>
    <cellStyle name="Normal 2 48" xfId="141"/>
    <cellStyle name="Normal 2 49" xfId="144"/>
    <cellStyle name="Normal 2 5" xfId="12"/>
    <cellStyle name="Normal 2 50" xfId="147"/>
    <cellStyle name="Normal 2 51" xfId="150"/>
    <cellStyle name="Normal 2 52" xfId="153"/>
    <cellStyle name="Normal 2 53" xfId="155"/>
    <cellStyle name="Normal 2 54" xfId="157"/>
    <cellStyle name="Normal 2 55" xfId="160"/>
    <cellStyle name="Normal 2 56" xfId="163"/>
    <cellStyle name="Normal 2 57" xfId="166"/>
    <cellStyle name="Normal 2 58" xfId="169"/>
    <cellStyle name="Normal 2 59" xfId="172"/>
    <cellStyle name="Normal 2 6" xfId="15"/>
    <cellStyle name="Normal 2 60" xfId="175"/>
    <cellStyle name="Normal 2 61" xfId="178"/>
    <cellStyle name="Normal 2 62" xfId="181"/>
    <cellStyle name="Normal 2 63" xfId="184"/>
    <cellStyle name="Normal 2 64" xfId="187"/>
    <cellStyle name="Normal 2 65" xfId="189"/>
    <cellStyle name="Normal 2 66" xfId="192"/>
    <cellStyle name="Normal 2 67" xfId="195"/>
    <cellStyle name="Normal 2 68" xfId="198"/>
    <cellStyle name="Normal 2 69" xfId="201"/>
    <cellStyle name="Normal 2 7" xfId="18"/>
    <cellStyle name="Normal 2 70" xfId="204"/>
    <cellStyle name="Normal 2 71" xfId="207"/>
    <cellStyle name="Normal 2 72" xfId="210"/>
    <cellStyle name="Normal 2 73" xfId="213"/>
    <cellStyle name="Normal 2 74" xfId="216"/>
    <cellStyle name="Normal 2 75" xfId="219"/>
    <cellStyle name="Normal 2 76" xfId="222"/>
    <cellStyle name="Normal 2 77" xfId="225"/>
    <cellStyle name="Normal 2 78" xfId="228"/>
    <cellStyle name="Normal 2 79" xfId="231"/>
    <cellStyle name="Normal 2 8" xfId="21"/>
    <cellStyle name="Normal 2 80" xfId="234"/>
    <cellStyle name="Normal 2 81" xfId="237"/>
    <cellStyle name="Normal 2 82" xfId="240"/>
    <cellStyle name="Normal 2 83" xfId="243"/>
    <cellStyle name="Normal 2 84" xfId="246"/>
    <cellStyle name="Normal 2 85" xfId="249"/>
    <cellStyle name="Normal 2 86" xfId="252"/>
    <cellStyle name="Normal 2 87" xfId="255"/>
    <cellStyle name="Normal 2 88" xfId="258"/>
    <cellStyle name="Normal 2 89" xfId="261"/>
    <cellStyle name="Normal 2 9" xfId="24"/>
    <cellStyle name="Normal 2 90" xfId="264"/>
    <cellStyle name="Normal 2 91" xfId="267"/>
    <cellStyle name="Normal 2 92" xfId="270"/>
    <cellStyle name="Normal 2 93" xfId="273"/>
    <cellStyle name="Normal 2 94" xfId="276"/>
    <cellStyle name="Normal 2 95" xfId="279"/>
    <cellStyle name="Normal 2 96" xfId="282"/>
    <cellStyle name="Normal 2 97" xfId="285"/>
    <cellStyle name="Normal 2 98" xfId="288"/>
    <cellStyle name="Normal 2 99" xfId="291"/>
    <cellStyle name="Normal 3" xfId="358"/>
  </cellStyles>
  <dxfs count="3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B1B3B4"/>
      <color rgb="FF007A3D"/>
      <color rgb="FF00335B"/>
      <color rgb="FF939905"/>
      <color rgb="FF008789"/>
      <color rgb="FFAE996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I$20"/>
</file>

<file path=xl/ctrlProps/ctrlProp2.xml><?xml version="1.0" encoding="utf-8"?>
<formControlPr xmlns="http://schemas.microsoft.com/office/spreadsheetml/2009/9/main" objectType="CheckBox" fmlaLink="$I$20"/>
</file>

<file path=xl/ctrlProps/ctrlProp3.xml><?xml version="1.0" encoding="utf-8"?>
<formControlPr xmlns="http://schemas.microsoft.com/office/spreadsheetml/2009/9/main" objectType="CheckBox" fmlaLink="$I$22"/>
</file>

<file path=xl/ctrlProps/ctrlProp4.xml><?xml version="1.0" encoding="utf-8"?>
<formControlPr xmlns="http://schemas.microsoft.com/office/spreadsheetml/2009/9/main" objectType="CheckBox" fmlaLink="$I$20"/>
</file>

<file path=xl/ctrlProps/ctrlProp5.xml><?xml version="1.0" encoding="utf-8"?>
<formControlPr xmlns="http://schemas.microsoft.com/office/spreadsheetml/2009/9/main" objectType="CheckBox" checked="Checked" fmlaLink="$I$22"/>
</file>

<file path=xl/ctrlProps/ctrlProp6.xml><?xml version="1.0" encoding="utf-8"?>
<formControlPr xmlns="http://schemas.microsoft.com/office/spreadsheetml/2009/9/main" objectType="CheckBox" checked="Checked" fmlaLink="$I$23"/>
</file>

<file path=xl/ctrlProps/ctrlProp7.xml><?xml version="1.0" encoding="utf-8"?>
<formControlPr xmlns="http://schemas.microsoft.com/office/spreadsheetml/2009/9/main" objectType="CheckBox" checked="Checked" fmlaLink="$I$20"/>
</file>

<file path=xl/ctrlProps/ctrlProp8.xml><?xml version="1.0" encoding="utf-8"?>
<formControlPr xmlns="http://schemas.microsoft.com/office/spreadsheetml/2009/9/main" objectType="CheckBox" checked="Checked" fmlaLink="$I$22"/>
</file>

<file path=xl/ctrlProps/ctrlProp9.xml><?xml version="1.0" encoding="utf-8"?>
<formControlPr xmlns="http://schemas.microsoft.com/office/spreadsheetml/2009/9/main" objectType="CheckBox" fmlaLink="$I$20"/>
</file>

<file path=xl/ctrlProps/ctrlProp10.xml><?xml version="1.0" encoding="utf-8"?>
<formControlPr xmlns="http://schemas.microsoft.com/office/spreadsheetml/2009/9/main" objectType="CheckBox" checked="Checked" fmlaLink="$I$22"/>
</file>

<file path=xl/ctrlProps/ctrlProp11.xml><?xml version="1.0" encoding="utf-8"?>
<formControlPr xmlns="http://schemas.microsoft.com/office/spreadsheetml/2009/9/main" objectType="CheckBox" checked="Checked" fmlaLink="$I$23"/>
</file>

<file path=xl/ctrlProps/ctrlProp12.xml><?xml version="1.0" encoding="utf-8"?>
<formControlPr xmlns="http://schemas.microsoft.com/office/spreadsheetml/2009/9/main" objectType="CheckBox" checked="Checked" fmlaLink="$I$20"/>
</file>

<file path=xl/ctrlProps/ctrlProp13.xml><?xml version="1.0" encoding="utf-8"?>
<formControlPr xmlns="http://schemas.microsoft.com/office/spreadsheetml/2009/9/main" objectType="CheckBox" checked="Checked" fmlaLink="$I$22"/>
</file>

<file path=xl/ctrlProps/ctrlProp14.xml><?xml version="1.0" encoding="utf-8"?>
<formControlPr xmlns="http://schemas.microsoft.com/office/spreadsheetml/2009/9/main" objectType="CheckBox" checked="Checked" fmlaLink="$I$20"/>
</file>

<file path=xl/ctrlProps/ctrlProp15.xml><?xml version="1.0" encoding="utf-8"?>
<formControlPr xmlns="http://schemas.microsoft.com/office/spreadsheetml/2009/9/main" objectType="CheckBox" checked="Checked" fmlaLink="$I$22"/>
</file>

<file path=xl/ctrlProps/ctrlProp16.xml><?xml version="1.0" encoding="utf-8"?>
<formControlPr xmlns="http://schemas.microsoft.com/office/spreadsheetml/2009/9/main" objectType="CheckBox" fmlaLink="$I$25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cure!A1"/><Relationship Id="rId2" Type="http://schemas.openxmlformats.org/officeDocument/2006/relationships/hyperlink" Target="#Complete!A1"/><Relationship Id="rId1" Type="http://schemas.openxmlformats.org/officeDocument/2006/relationships/image" Target="../media/image1.jpeg"/><Relationship Id="rId6" Type="http://schemas.openxmlformats.org/officeDocument/2006/relationships/hyperlink" Target="#'Resumen tarifas anuales'!A1"/><Relationship Id="rId5" Type="http://schemas.openxmlformats.org/officeDocument/2006/relationships/hyperlink" Target="#Classic!A1"/><Relationship Id="rId4" Type="http://schemas.openxmlformats.org/officeDocument/2006/relationships/hyperlink" Target="#Premium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INGRESO DE DAT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1005418</xdr:colOff>
      <xdr:row>0</xdr:row>
      <xdr:rowOff>85725</xdr:rowOff>
    </xdr:from>
    <xdr:to>
      <xdr:col>10</xdr:col>
      <xdr:colOff>142876</xdr:colOff>
      <xdr:row>7</xdr:row>
      <xdr:rowOff>190500</xdr:rowOff>
    </xdr:to>
    <xdr:sp macro="" textlink="">
      <xdr:nvSpPr>
        <xdr:cNvPr id="3084" name="Text Box 12"/>
        <xdr:cNvSpPr txBox="1">
          <a:spLocks noChangeArrowheads="1"/>
        </xdr:cNvSpPr>
      </xdr:nvSpPr>
      <xdr:spPr bwMode="auto">
        <a:xfrm>
          <a:off x="10255251" y="85725"/>
          <a:ext cx="3264958" cy="17240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Guatemala 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876300</xdr:colOff>
      <xdr:row>0</xdr:row>
      <xdr:rowOff>0</xdr:rowOff>
    </xdr:from>
    <xdr:to>
      <xdr:col>5</xdr:col>
      <xdr:colOff>1057275</xdr:colOff>
      <xdr:row>6</xdr:row>
      <xdr:rowOff>161925</xdr:rowOff>
    </xdr:to>
    <xdr:pic>
      <xdr:nvPicPr>
        <xdr:cNvPr id="14764" name="Picture 16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10100" y="0"/>
          <a:ext cx="2924175" cy="1514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2</xdr:col>
      <xdr:colOff>631031</xdr:colOff>
      <xdr:row>23</xdr:row>
      <xdr:rowOff>128587</xdr:rowOff>
    </xdr:from>
    <xdr:to>
      <xdr:col>3</xdr:col>
      <xdr:colOff>963706</xdr:colOff>
      <xdr:row>30</xdr:row>
      <xdr:rowOff>214312</xdr:rowOff>
    </xdr:to>
    <xdr:sp macro="" textlink="">
      <xdr:nvSpPr>
        <xdr:cNvPr id="3090" name="Oval 18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2976562" y="5367337"/>
          <a:ext cx="1689988" cy="1752600"/>
        </a:xfrm>
        <a:prstGeom prst="ellipse">
          <a:avLst/>
        </a:prstGeom>
        <a:solidFill>
          <a:srgbClr val="AE9962"/>
        </a:solidFill>
        <a:ln w="38100" algn="ctr">
          <a:solidFill>
            <a:srgbClr val="96969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Bupa Complete Guatemala</a:t>
          </a:r>
        </a:p>
      </xdr:txBody>
    </xdr:sp>
    <xdr:clientData/>
  </xdr:twoCellAnchor>
  <xdr:twoCellAnchor editAs="absolute">
    <xdr:from>
      <xdr:col>4</xdr:col>
      <xdr:colOff>23812</xdr:colOff>
      <xdr:row>23</xdr:row>
      <xdr:rowOff>138112</xdr:rowOff>
    </xdr:from>
    <xdr:to>
      <xdr:col>5</xdr:col>
      <xdr:colOff>373661</xdr:colOff>
      <xdr:row>31</xdr:row>
      <xdr:rowOff>4762</xdr:rowOff>
    </xdr:to>
    <xdr:sp macro="" textlink="">
      <xdr:nvSpPr>
        <xdr:cNvPr id="3096" name="Oval 24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5083968" y="5376862"/>
          <a:ext cx="1707162" cy="1771650"/>
        </a:xfrm>
        <a:prstGeom prst="ellipse">
          <a:avLst/>
        </a:prstGeom>
        <a:solidFill>
          <a:srgbClr val="B1B3B4"/>
        </a:solidFill>
        <a:ln w="38100" algn="ctr">
          <a:solidFill>
            <a:srgbClr val="96969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Bupa Secure Guatemala</a:t>
          </a:r>
        </a:p>
        <a:p>
          <a:pPr algn="ctr" rtl="0">
            <a:defRPr sz="1000"/>
          </a:pPr>
          <a:endParaRPr lang="es-ES" sz="13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5</xdr:col>
      <xdr:colOff>766762</xdr:colOff>
      <xdr:row>23</xdr:row>
      <xdr:rowOff>138112</xdr:rowOff>
    </xdr:from>
    <xdr:to>
      <xdr:col>6</xdr:col>
      <xdr:colOff>1092225</xdr:colOff>
      <xdr:row>31</xdr:row>
      <xdr:rowOff>4762</xdr:rowOff>
    </xdr:to>
    <xdr:sp macro="" textlink="">
      <xdr:nvSpPr>
        <xdr:cNvPr id="3098" name="Oval 26">
          <a:hlinkClick xmlns:r="http://schemas.openxmlformats.org/officeDocument/2006/relationships" r:id="rId4"/>
        </xdr:cNvPr>
        <xdr:cNvSpPr>
          <a:spLocks noChangeArrowheads="1"/>
        </xdr:cNvSpPr>
      </xdr:nvSpPr>
      <xdr:spPr bwMode="auto">
        <a:xfrm>
          <a:off x="7184231" y="5376862"/>
          <a:ext cx="1682775" cy="1771650"/>
        </a:xfrm>
        <a:prstGeom prst="ellipse">
          <a:avLst/>
        </a:prstGeom>
        <a:solidFill>
          <a:srgbClr val="007A3D"/>
        </a:solidFill>
        <a:ln w="38100" algn="ctr">
          <a:solidFill>
            <a:srgbClr val="96969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Bupa Premium Guatemala</a:t>
          </a:r>
          <a:endParaRPr lang="es-ES" sz="13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7</xdr:col>
      <xdr:colOff>166687</xdr:colOff>
      <xdr:row>23</xdr:row>
      <xdr:rowOff>138112</xdr:rowOff>
    </xdr:from>
    <xdr:to>
      <xdr:col>8</xdr:col>
      <xdr:colOff>516536</xdr:colOff>
      <xdr:row>30</xdr:row>
      <xdr:rowOff>223837</xdr:rowOff>
    </xdr:to>
    <xdr:sp macro="" textlink="">
      <xdr:nvSpPr>
        <xdr:cNvPr id="3100" name="Oval 28">
          <a:hlinkClick xmlns:r="http://schemas.openxmlformats.org/officeDocument/2006/relationships" r:id="rId5"/>
        </xdr:cNvPr>
        <xdr:cNvSpPr>
          <a:spLocks noChangeArrowheads="1"/>
        </xdr:cNvSpPr>
      </xdr:nvSpPr>
      <xdr:spPr bwMode="auto">
        <a:xfrm>
          <a:off x="9298781" y="5376862"/>
          <a:ext cx="1707161" cy="1752600"/>
        </a:xfrm>
        <a:prstGeom prst="ellipse">
          <a:avLst/>
        </a:prstGeom>
        <a:solidFill>
          <a:srgbClr val="00335B"/>
        </a:solidFill>
        <a:ln w="38100" algn="ctr">
          <a:solidFill>
            <a:srgbClr val="96969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300" b="1" i="0" u="none" strike="noStrike" baseline="0">
              <a:solidFill>
                <a:srgbClr val="FFFFFF"/>
              </a:solidFill>
              <a:latin typeface="Arial"/>
              <a:cs typeface="Arial"/>
            </a:rPr>
            <a:t>Bupa Classic Guatemala</a:t>
          </a:r>
          <a:endParaRPr lang="es-ES" sz="13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112977</xdr:colOff>
      <xdr:row>32</xdr:row>
      <xdr:rowOff>58473</xdr:rowOff>
    </xdr:from>
    <xdr:to>
      <xdr:col>6</xdr:col>
      <xdr:colOff>1251213</xdr:colOff>
      <xdr:row>34</xdr:row>
      <xdr:rowOff>210873</xdr:rowOff>
    </xdr:to>
    <xdr:sp macro="" textlink="">
      <xdr:nvSpPr>
        <xdr:cNvPr id="3106" name="Text Box 34">
          <a:hlinkClick xmlns:r="http://schemas.openxmlformats.org/officeDocument/2006/relationships" r:id="rId6"/>
        </xdr:cNvPr>
        <xdr:cNvSpPr txBox="1">
          <a:spLocks noChangeArrowheads="1"/>
        </xdr:cNvSpPr>
      </xdr:nvSpPr>
      <xdr:spPr bwMode="auto">
        <a:xfrm>
          <a:off x="5173133" y="7440348"/>
          <a:ext cx="3852861" cy="628650"/>
        </a:xfrm>
        <a:prstGeom prst="rect">
          <a:avLst/>
        </a:prstGeom>
        <a:ln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lIns="45720" tIns="32004" rIns="45720" bIns="32004" anchor="ctr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ysClr val="windowText" lastClr="000000"/>
              </a:solidFill>
              <a:latin typeface="BUPAQuantaText" pitchFamily="2" charset="0"/>
              <a:cs typeface="Microsoft Sans Serif"/>
            </a:rPr>
            <a:t>VER RESUMEN DE TARIFAS ANUALES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142875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8496300" y="3076575"/>
          <a:ext cx="200025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12106275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16</xdr:row>
      <xdr:rowOff>247649</xdr:rowOff>
    </xdr:from>
    <xdr:to>
      <xdr:col>8</xdr:col>
      <xdr:colOff>962025</xdr:colOff>
      <xdr:row>18</xdr:row>
      <xdr:rowOff>273844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8517731" y="3629024"/>
          <a:ext cx="2005013" cy="4548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de 24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12106275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66675</xdr:colOff>
      <xdr:row>19</xdr:row>
      <xdr:rowOff>28575</xdr:rowOff>
    </xdr:from>
    <xdr:to>
      <xdr:col>9</xdr:col>
      <xdr:colOff>485775</xdr:colOff>
      <xdr:row>20</xdr:row>
      <xdr:rowOff>28575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8496300" y="4095750"/>
          <a:ext cx="26479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5991225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5991225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1064" name="Text Box 40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7007"/>
          <a:ext cx="2769054" cy="402772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419100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1074" name="Text Box 50"/>
        <xdr:cNvSpPr txBox="1">
          <a:spLocks noChangeArrowheads="1"/>
        </xdr:cNvSpPr>
      </xdr:nvSpPr>
      <xdr:spPr bwMode="auto">
        <a:xfrm>
          <a:off x="11906250" y="85725"/>
          <a:ext cx="2886075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Guatemala</a:t>
          </a:r>
          <a:endParaRPr lang="es-ES" sz="1600" b="0" i="0" u="none" strike="noStrike" baseline="0">
            <a:solidFill>
              <a:srgbClr val="000000"/>
            </a:solidFill>
            <a:latin typeface="MS Reference Sans Serif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0</xdr:rowOff>
    </xdr:from>
    <xdr:to>
      <xdr:col>8</xdr:col>
      <xdr:colOff>462982</xdr:colOff>
      <xdr:row>8</xdr:row>
      <xdr:rowOff>76200</xdr:rowOff>
    </xdr:to>
    <xdr:pic>
      <xdr:nvPicPr>
        <xdr:cNvPr id="15709" name="Picture 59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00825" y="0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333374</xdr:colOff>
      <xdr:row>15</xdr:row>
      <xdr:rowOff>180975</xdr:rowOff>
    </xdr:from>
    <xdr:to>
      <xdr:col>6</xdr:col>
      <xdr:colOff>884463</xdr:colOff>
      <xdr:row>18</xdr:row>
      <xdr:rowOff>142875</xdr:rowOff>
    </xdr:to>
    <xdr:sp macro="" textlink="">
      <xdr:nvSpPr>
        <xdr:cNvPr id="15710" name="Rectangle 65"/>
        <xdr:cNvSpPr>
          <a:spLocks noChangeArrowheads="1"/>
        </xdr:cNvSpPr>
      </xdr:nvSpPr>
      <xdr:spPr bwMode="auto">
        <a:xfrm>
          <a:off x="7517945" y="3324225"/>
          <a:ext cx="1666875" cy="628650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800100</xdr:colOff>
          <xdr:row>19</xdr:row>
          <xdr:rowOff>66675</xdr:rowOff>
        </xdr:from>
        <xdr:to>
          <xdr:col>9</xdr:col>
          <xdr:colOff>1076325</xdr:colOff>
          <xdr:row>20</xdr:row>
          <xdr:rowOff>28575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152400</xdr:rowOff>
    </xdr:to>
    <xdr:sp macro="" textlink="">
      <xdr:nvSpPr>
        <xdr:cNvPr id="5121" name="Rectangle 1"/>
        <xdr:cNvSpPr>
          <a:spLocks noChangeArrowheads="1"/>
        </xdr:cNvSpPr>
      </xdr:nvSpPr>
      <xdr:spPr bwMode="auto">
        <a:xfrm>
          <a:off x="8496300" y="3076575"/>
          <a:ext cx="2000250" cy="400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5122" name="Rectangle 2"/>
        <xdr:cNvSpPr>
          <a:spLocks noChangeArrowheads="1"/>
        </xdr:cNvSpPr>
      </xdr:nvSpPr>
      <xdr:spPr bwMode="auto">
        <a:xfrm>
          <a:off x="12106275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17</xdr:row>
      <xdr:rowOff>0</xdr:rowOff>
    </xdr:from>
    <xdr:to>
      <xdr:col>8</xdr:col>
      <xdr:colOff>962025</xdr:colOff>
      <xdr:row>18</xdr:row>
      <xdr:rowOff>161926</xdr:rowOff>
    </xdr:to>
    <xdr:sp macro="" textlink="">
      <xdr:nvSpPr>
        <xdr:cNvPr id="5123" name="Rectangle 3"/>
        <xdr:cNvSpPr>
          <a:spLocks noChangeArrowheads="1"/>
        </xdr:cNvSpPr>
      </xdr:nvSpPr>
      <xdr:spPr bwMode="auto">
        <a:xfrm>
          <a:off x="8505825" y="3571875"/>
          <a:ext cx="2000250" cy="4095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de 24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5124" name="Rectangle 4"/>
        <xdr:cNvSpPr>
          <a:spLocks noChangeArrowheads="1"/>
        </xdr:cNvSpPr>
      </xdr:nvSpPr>
      <xdr:spPr bwMode="auto">
        <a:xfrm>
          <a:off x="12106275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66675</xdr:colOff>
      <xdr:row>19</xdr:row>
      <xdr:rowOff>76200</xdr:rowOff>
    </xdr:from>
    <xdr:to>
      <xdr:col>9</xdr:col>
      <xdr:colOff>485775</xdr:colOff>
      <xdr:row>20</xdr:row>
      <xdr:rowOff>76200</xdr:rowOff>
    </xdr:to>
    <xdr:sp macro="" textlink="">
      <xdr:nvSpPr>
        <xdr:cNvPr id="5125" name="Rectangle 5"/>
        <xdr:cNvSpPr>
          <a:spLocks noChangeArrowheads="1"/>
        </xdr:cNvSpPr>
      </xdr:nvSpPr>
      <xdr:spPr bwMode="auto">
        <a:xfrm>
          <a:off x="8496300" y="4143375"/>
          <a:ext cx="26479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5126" name="Rectangle 6"/>
        <xdr:cNvSpPr>
          <a:spLocks noChangeArrowheads="1"/>
        </xdr:cNvSpPr>
      </xdr:nvSpPr>
      <xdr:spPr bwMode="auto">
        <a:xfrm>
          <a:off x="5991225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5127" name="Rectangle 7"/>
        <xdr:cNvSpPr>
          <a:spLocks noChangeArrowheads="1"/>
        </xdr:cNvSpPr>
      </xdr:nvSpPr>
      <xdr:spPr bwMode="auto">
        <a:xfrm>
          <a:off x="5991225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5128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771775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466725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5129" name="Text Box 9"/>
        <xdr:cNvSpPr txBox="1">
          <a:spLocks noChangeArrowheads="1"/>
        </xdr:cNvSpPr>
      </xdr:nvSpPr>
      <xdr:spPr bwMode="auto">
        <a:xfrm>
          <a:off x="11953875" y="85725"/>
          <a:ext cx="2838450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</a:t>
          </a:r>
          <a:r>
            <a:rPr lang="en-US" sz="1600" b="1" i="0" baseline="0">
              <a:latin typeface="+mn-lt"/>
              <a:ea typeface="+mn-ea"/>
              <a:cs typeface="+mn-cs"/>
            </a:rPr>
            <a:t>Guatemala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0</xdr:rowOff>
    </xdr:from>
    <xdr:to>
      <xdr:col>8</xdr:col>
      <xdr:colOff>447675</xdr:colOff>
      <xdr:row>8</xdr:row>
      <xdr:rowOff>76200</xdr:rowOff>
    </xdr:to>
    <xdr:pic>
      <xdr:nvPicPr>
        <xdr:cNvPr id="17705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00825" y="0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333375</xdr:colOff>
      <xdr:row>15</xdr:row>
      <xdr:rowOff>180975</xdr:rowOff>
    </xdr:from>
    <xdr:to>
      <xdr:col>6</xdr:col>
      <xdr:colOff>830035</xdr:colOff>
      <xdr:row>18</xdr:row>
      <xdr:rowOff>142875</xdr:rowOff>
    </xdr:to>
    <xdr:sp macro="" textlink="">
      <xdr:nvSpPr>
        <xdr:cNvPr id="17706" name="Rectangle 13"/>
        <xdr:cNvSpPr>
          <a:spLocks noChangeArrowheads="1"/>
        </xdr:cNvSpPr>
      </xdr:nvSpPr>
      <xdr:spPr bwMode="auto">
        <a:xfrm>
          <a:off x="7368268" y="3324225"/>
          <a:ext cx="1612446" cy="696686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19</xdr:row>
          <xdr:rowOff>66675</xdr:rowOff>
        </xdr:from>
        <xdr:to>
          <xdr:col>9</xdr:col>
          <xdr:colOff>1104900</xdr:colOff>
          <xdr:row>20</xdr:row>
          <xdr:rowOff>38100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21</xdr:row>
          <xdr:rowOff>66675</xdr:rowOff>
        </xdr:from>
        <xdr:to>
          <xdr:col>9</xdr:col>
          <xdr:colOff>1104900</xdr:colOff>
          <xdr:row>22</xdr:row>
          <xdr:rowOff>28575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142875</xdr:rowOff>
    </xdr:to>
    <xdr:sp macro="" textlink="">
      <xdr:nvSpPr>
        <xdr:cNvPr id="7169" name="Rectangle 1"/>
        <xdr:cNvSpPr>
          <a:spLocks noChangeArrowheads="1"/>
        </xdr:cNvSpPr>
      </xdr:nvSpPr>
      <xdr:spPr bwMode="auto">
        <a:xfrm>
          <a:off x="8496300" y="3076575"/>
          <a:ext cx="200025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7170" name="Rectangle 2"/>
        <xdr:cNvSpPr>
          <a:spLocks noChangeArrowheads="1"/>
        </xdr:cNvSpPr>
      </xdr:nvSpPr>
      <xdr:spPr bwMode="auto">
        <a:xfrm>
          <a:off x="12106275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16</xdr:row>
      <xdr:rowOff>247649</xdr:rowOff>
    </xdr:from>
    <xdr:to>
      <xdr:col>8</xdr:col>
      <xdr:colOff>962025</xdr:colOff>
      <xdr:row>18</xdr:row>
      <xdr:rowOff>142874</xdr:rowOff>
    </xdr:to>
    <xdr:sp macro="" textlink="">
      <xdr:nvSpPr>
        <xdr:cNvPr id="7171" name="Rectangle 3"/>
        <xdr:cNvSpPr>
          <a:spLocks noChangeArrowheads="1"/>
        </xdr:cNvSpPr>
      </xdr:nvSpPr>
      <xdr:spPr bwMode="auto">
        <a:xfrm>
          <a:off x="8505825" y="3571874"/>
          <a:ext cx="200025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24 de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7172" name="Rectangle 4"/>
        <xdr:cNvSpPr>
          <a:spLocks noChangeArrowheads="1"/>
        </xdr:cNvSpPr>
      </xdr:nvSpPr>
      <xdr:spPr bwMode="auto">
        <a:xfrm>
          <a:off x="12106275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66675</xdr:colOff>
      <xdr:row>19</xdr:row>
      <xdr:rowOff>66675</xdr:rowOff>
    </xdr:from>
    <xdr:to>
      <xdr:col>9</xdr:col>
      <xdr:colOff>485775</xdr:colOff>
      <xdr:row>20</xdr:row>
      <xdr:rowOff>66675</xdr:rowOff>
    </xdr:to>
    <xdr:sp macro="" textlink="">
      <xdr:nvSpPr>
        <xdr:cNvPr id="7173" name="Rectangle 5"/>
        <xdr:cNvSpPr>
          <a:spLocks noChangeArrowheads="1"/>
        </xdr:cNvSpPr>
      </xdr:nvSpPr>
      <xdr:spPr bwMode="auto">
        <a:xfrm>
          <a:off x="9918246" y="4135211"/>
          <a:ext cx="2079172" cy="24492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7174" name="Rectangle 6"/>
        <xdr:cNvSpPr>
          <a:spLocks noChangeArrowheads="1"/>
        </xdr:cNvSpPr>
      </xdr:nvSpPr>
      <xdr:spPr bwMode="auto">
        <a:xfrm>
          <a:off x="5991225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7175" name="Rectangle 7"/>
        <xdr:cNvSpPr>
          <a:spLocks noChangeArrowheads="1"/>
        </xdr:cNvSpPr>
      </xdr:nvSpPr>
      <xdr:spPr bwMode="auto">
        <a:xfrm>
          <a:off x="5991225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7176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771775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304800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7177" name="Text Box 9"/>
        <xdr:cNvSpPr txBox="1">
          <a:spLocks noChangeArrowheads="1"/>
        </xdr:cNvSpPr>
      </xdr:nvSpPr>
      <xdr:spPr bwMode="auto">
        <a:xfrm>
          <a:off x="11791950" y="85725"/>
          <a:ext cx="3000375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</a:t>
          </a:r>
          <a:r>
            <a:rPr lang="en-US" sz="1600" b="1" i="0" baseline="0">
              <a:latin typeface="+mn-lt"/>
              <a:ea typeface="+mn-ea"/>
              <a:cs typeface="+mn-cs"/>
            </a:rPr>
            <a:t>Guatemala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104775</xdr:rowOff>
    </xdr:from>
    <xdr:to>
      <xdr:col>8</xdr:col>
      <xdr:colOff>22112</xdr:colOff>
      <xdr:row>9</xdr:row>
      <xdr:rowOff>19050</xdr:rowOff>
    </xdr:to>
    <xdr:pic>
      <xdr:nvPicPr>
        <xdr:cNvPr id="19753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00825" y="104775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544286</xdr:colOff>
      <xdr:row>15</xdr:row>
      <xdr:rowOff>180975</xdr:rowOff>
    </xdr:from>
    <xdr:to>
      <xdr:col>6</xdr:col>
      <xdr:colOff>1062718</xdr:colOff>
      <xdr:row>18</xdr:row>
      <xdr:rowOff>142875</xdr:rowOff>
    </xdr:to>
    <xdr:sp macro="" textlink="">
      <xdr:nvSpPr>
        <xdr:cNvPr id="19754" name="Rectangle 13"/>
        <xdr:cNvSpPr>
          <a:spLocks noChangeArrowheads="1"/>
        </xdr:cNvSpPr>
      </xdr:nvSpPr>
      <xdr:spPr bwMode="auto">
        <a:xfrm>
          <a:off x="7674429" y="3269796"/>
          <a:ext cx="1634218" cy="696686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19</xdr:row>
          <xdr:rowOff>66675</xdr:rowOff>
        </xdr:from>
        <xdr:to>
          <xdr:col>9</xdr:col>
          <xdr:colOff>1104900</xdr:colOff>
          <xdr:row>20</xdr:row>
          <xdr:rowOff>38100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21</xdr:row>
          <xdr:rowOff>66675</xdr:rowOff>
        </xdr:from>
        <xdr:to>
          <xdr:col>9</xdr:col>
          <xdr:colOff>1104900</xdr:colOff>
          <xdr:row>22</xdr:row>
          <xdr:rowOff>28575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22</xdr:row>
          <xdr:rowOff>228600</xdr:rowOff>
        </xdr:from>
        <xdr:to>
          <xdr:col>9</xdr:col>
          <xdr:colOff>1114425</xdr:colOff>
          <xdr:row>23</xdr:row>
          <xdr:rowOff>190500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133350</xdr:rowOff>
    </xdr:to>
    <xdr:sp macro="" textlink="">
      <xdr:nvSpPr>
        <xdr:cNvPr id="8193" name="Rectangle 1"/>
        <xdr:cNvSpPr>
          <a:spLocks noChangeArrowheads="1"/>
        </xdr:cNvSpPr>
      </xdr:nvSpPr>
      <xdr:spPr bwMode="auto">
        <a:xfrm>
          <a:off x="8582025" y="3076575"/>
          <a:ext cx="2000250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8194" name="Rectangle 2"/>
        <xdr:cNvSpPr>
          <a:spLocks noChangeArrowheads="1"/>
        </xdr:cNvSpPr>
      </xdr:nvSpPr>
      <xdr:spPr bwMode="auto">
        <a:xfrm>
          <a:off x="12192000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17</xdr:row>
      <xdr:rowOff>0</xdr:rowOff>
    </xdr:from>
    <xdr:to>
      <xdr:col>8</xdr:col>
      <xdr:colOff>962025</xdr:colOff>
      <xdr:row>18</xdr:row>
      <xdr:rowOff>161925</xdr:rowOff>
    </xdr:to>
    <xdr:sp macro="" textlink="">
      <xdr:nvSpPr>
        <xdr:cNvPr id="8195" name="Rectangle 3"/>
        <xdr:cNvSpPr>
          <a:spLocks noChangeArrowheads="1"/>
        </xdr:cNvSpPr>
      </xdr:nvSpPr>
      <xdr:spPr bwMode="auto">
        <a:xfrm>
          <a:off x="8591550" y="3571875"/>
          <a:ext cx="2000250" cy="409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24 de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8196" name="Rectangle 4"/>
        <xdr:cNvSpPr>
          <a:spLocks noChangeArrowheads="1"/>
        </xdr:cNvSpPr>
      </xdr:nvSpPr>
      <xdr:spPr bwMode="auto">
        <a:xfrm>
          <a:off x="12192000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66675</xdr:colOff>
      <xdr:row>19</xdr:row>
      <xdr:rowOff>66675</xdr:rowOff>
    </xdr:from>
    <xdr:to>
      <xdr:col>9</xdr:col>
      <xdr:colOff>485775</xdr:colOff>
      <xdr:row>20</xdr:row>
      <xdr:rowOff>66675</xdr:rowOff>
    </xdr:to>
    <xdr:sp macro="" textlink="">
      <xdr:nvSpPr>
        <xdr:cNvPr id="8197" name="Rectangle 5"/>
        <xdr:cNvSpPr>
          <a:spLocks noChangeArrowheads="1"/>
        </xdr:cNvSpPr>
      </xdr:nvSpPr>
      <xdr:spPr bwMode="auto">
        <a:xfrm>
          <a:off x="8582025" y="4133850"/>
          <a:ext cx="26479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8198" name="Rectangle 6"/>
        <xdr:cNvSpPr>
          <a:spLocks noChangeArrowheads="1"/>
        </xdr:cNvSpPr>
      </xdr:nvSpPr>
      <xdr:spPr bwMode="auto">
        <a:xfrm>
          <a:off x="6076950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8199" name="Rectangle 7"/>
        <xdr:cNvSpPr>
          <a:spLocks noChangeArrowheads="1"/>
        </xdr:cNvSpPr>
      </xdr:nvSpPr>
      <xdr:spPr bwMode="auto">
        <a:xfrm>
          <a:off x="6076950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8200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857500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371475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8201" name="Text Box 9"/>
        <xdr:cNvSpPr txBox="1">
          <a:spLocks noChangeArrowheads="1"/>
        </xdr:cNvSpPr>
      </xdr:nvSpPr>
      <xdr:spPr bwMode="auto">
        <a:xfrm>
          <a:off x="12230100" y="85725"/>
          <a:ext cx="2933700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Latinoamerica</a:t>
          </a:r>
          <a:endParaRPr lang="es-ES" sz="1600" b="0" i="0" baseline="0">
            <a:latin typeface="+mn-lt"/>
            <a:ea typeface="+mn-ea"/>
            <a:cs typeface="+mn-cs"/>
          </a:endParaRPr>
        </a:p>
        <a:p>
          <a:pPr algn="r" rtl="0"/>
          <a:r>
            <a:rPr lang="es-ES" sz="1600" b="0" i="0" baseline="0">
              <a:latin typeface="+mn-lt"/>
              <a:ea typeface="+mn-ea"/>
              <a:cs typeface="+mn-cs"/>
            </a:rPr>
            <a:t>Region 2</a:t>
          </a:r>
          <a:endParaRPr lang="en-US" sz="1600"/>
        </a:p>
        <a:p>
          <a:pPr algn="r" rtl="0"/>
          <a:r>
            <a:rPr lang="es-ES" sz="1600" b="0" i="0" baseline="0">
              <a:latin typeface="+mn-lt"/>
              <a:ea typeface="+mn-ea"/>
              <a:cs typeface="+mn-cs"/>
            </a:rPr>
            <a:t>[Chile, Haiti, Honduras, Peru]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104775</xdr:rowOff>
    </xdr:from>
    <xdr:to>
      <xdr:col>8</xdr:col>
      <xdr:colOff>523875</xdr:colOff>
      <xdr:row>9</xdr:row>
      <xdr:rowOff>19050</xdr:rowOff>
    </xdr:to>
    <xdr:pic>
      <xdr:nvPicPr>
        <xdr:cNvPr id="20777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86550" y="104775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333375</xdr:colOff>
      <xdr:row>15</xdr:row>
      <xdr:rowOff>180975</xdr:rowOff>
    </xdr:from>
    <xdr:to>
      <xdr:col>6</xdr:col>
      <xdr:colOff>790575</xdr:colOff>
      <xdr:row>18</xdr:row>
      <xdr:rowOff>142875</xdr:rowOff>
    </xdr:to>
    <xdr:sp macro="" textlink="">
      <xdr:nvSpPr>
        <xdr:cNvPr id="20778" name="Rectangle 13"/>
        <xdr:cNvSpPr>
          <a:spLocks noChangeArrowheads="1"/>
        </xdr:cNvSpPr>
      </xdr:nvSpPr>
      <xdr:spPr bwMode="auto">
        <a:xfrm>
          <a:off x="6619875" y="3257550"/>
          <a:ext cx="1571625" cy="704850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800100</xdr:colOff>
          <xdr:row>19</xdr:row>
          <xdr:rowOff>66675</xdr:rowOff>
        </xdr:from>
        <xdr:to>
          <xdr:col>9</xdr:col>
          <xdr:colOff>1076325</xdr:colOff>
          <xdr:row>20</xdr:row>
          <xdr:rowOff>38100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21</xdr:row>
          <xdr:rowOff>66675</xdr:rowOff>
        </xdr:from>
        <xdr:to>
          <xdr:col>9</xdr:col>
          <xdr:colOff>1076325</xdr:colOff>
          <xdr:row>22</xdr:row>
          <xdr:rowOff>28575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142875</xdr:rowOff>
    </xdr:to>
    <xdr:sp macro="" textlink="">
      <xdr:nvSpPr>
        <xdr:cNvPr id="9217" name="Rectangle 1"/>
        <xdr:cNvSpPr>
          <a:spLocks noChangeArrowheads="1"/>
        </xdr:cNvSpPr>
      </xdr:nvSpPr>
      <xdr:spPr bwMode="auto">
        <a:xfrm>
          <a:off x="8582025" y="3076575"/>
          <a:ext cx="200025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9218" name="Rectangle 2"/>
        <xdr:cNvSpPr>
          <a:spLocks noChangeArrowheads="1"/>
        </xdr:cNvSpPr>
      </xdr:nvSpPr>
      <xdr:spPr bwMode="auto">
        <a:xfrm>
          <a:off x="12192000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17</xdr:row>
      <xdr:rowOff>0</xdr:rowOff>
    </xdr:from>
    <xdr:to>
      <xdr:col>8</xdr:col>
      <xdr:colOff>962025</xdr:colOff>
      <xdr:row>18</xdr:row>
      <xdr:rowOff>123825</xdr:rowOff>
    </xdr:to>
    <xdr:sp macro="" textlink="">
      <xdr:nvSpPr>
        <xdr:cNvPr id="9219" name="Rectangle 3"/>
        <xdr:cNvSpPr>
          <a:spLocks noChangeArrowheads="1"/>
        </xdr:cNvSpPr>
      </xdr:nvSpPr>
      <xdr:spPr bwMode="auto">
        <a:xfrm>
          <a:off x="8591550" y="3571875"/>
          <a:ext cx="200025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24 de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9220" name="Rectangle 4"/>
        <xdr:cNvSpPr>
          <a:spLocks noChangeArrowheads="1"/>
        </xdr:cNvSpPr>
      </xdr:nvSpPr>
      <xdr:spPr bwMode="auto">
        <a:xfrm>
          <a:off x="12192000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57150</xdr:colOff>
      <xdr:row>19</xdr:row>
      <xdr:rowOff>57150</xdr:rowOff>
    </xdr:from>
    <xdr:to>
      <xdr:col>9</xdr:col>
      <xdr:colOff>476250</xdr:colOff>
      <xdr:row>20</xdr:row>
      <xdr:rowOff>57150</xdr:rowOff>
    </xdr:to>
    <xdr:sp macro="" textlink="">
      <xdr:nvSpPr>
        <xdr:cNvPr id="9221" name="Rectangle 5"/>
        <xdr:cNvSpPr>
          <a:spLocks noChangeArrowheads="1"/>
        </xdr:cNvSpPr>
      </xdr:nvSpPr>
      <xdr:spPr bwMode="auto">
        <a:xfrm>
          <a:off x="8572500" y="4124325"/>
          <a:ext cx="26479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9222" name="Rectangle 6"/>
        <xdr:cNvSpPr>
          <a:spLocks noChangeArrowheads="1"/>
        </xdr:cNvSpPr>
      </xdr:nvSpPr>
      <xdr:spPr bwMode="auto">
        <a:xfrm>
          <a:off x="6076950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9223" name="Rectangle 7"/>
        <xdr:cNvSpPr>
          <a:spLocks noChangeArrowheads="1"/>
        </xdr:cNvSpPr>
      </xdr:nvSpPr>
      <xdr:spPr bwMode="auto">
        <a:xfrm>
          <a:off x="6076950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9224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857500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257175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9225" name="Text Box 9"/>
        <xdr:cNvSpPr txBox="1">
          <a:spLocks noChangeArrowheads="1"/>
        </xdr:cNvSpPr>
      </xdr:nvSpPr>
      <xdr:spPr bwMode="auto">
        <a:xfrm>
          <a:off x="11830050" y="85725"/>
          <a:ext cx="3048000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</a:t>
          </a:r>
          <a:r>
            <a:rPr lang="en-US" sz="1600" b="1" i="0" baseline="0">
              <a:latin typeface="+mn-lt"/>
              <a:ea typeface="+mn-ea"/>
              <a:cs typeface="+mn-cs"/>
            </a:rPr>
            <a:t>Guatemala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104775</xdr:rowOff>
    </xdr:from>
    <xdr:to>
      <xdr:col>8</xdr:col>
      <xdr:colOff>59871</xdr:colOff>
      <xdr:row>9</xdr:row>
      <xdr:rowOff>19050</xdr:rowOff>
    </xdr:to>
    <xdr:pic>
      <xdr:nvPicPr>
        <xdr:cNvPr id="21801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86550" y="104775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578304</xdr:colOff>
      <xdr:row>15</xdr:row>
      <xdr:rowOff>167368</xdr:rowOff>
    </xdr:from>
    <xdr:to>
      <xdr:col>6</xdr:col>
      <xdr:colOff>1035504</xdr:colOff>
      <xdr:row>18</xdr:row>
      <xdr:rowOff>129268</xdr:rowOff>
    </xdr:to>
    <xdr:sp macro="" textlink="">
      <xdr:nvSpPr>
        <xdr:cNvPr id="21802" name="Rectangle 13"/>
        <xdr:cNvSpPr>
          <a:spLocks noChangeArrowheads="1"/>
        </xdr:cNvSpPr>
      </xdr:nvSpPr>
      <xdr:spPr bwMode="auto">
        <a:xfrm>
          <a:off x="7341054" y="3256189"/>
          <a:ext cx="1572986" cy="696686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790575</xdr:colOff>
          <xdr:row>19</xdr:row>
          <xdr:rowOff>66675</xdr:rowOff>
        </xdr:from>
        <xdr:to>
          <xdr:col>9</xdr:col>
          <xdr:colOff>1057275</xdr:colOff>
          <xdr:row>20</xdr:row>
          <xdr:rowOff>38100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790575</xdr:colOff>
          <xdr:row>21</xdr:row>
          <xdr:rowOff>66675</xdr:rowOff>
        </xdr:from>
        <xdr:to>
          <xdr:col>9</xdr:col>
          <xdr:colOff>1057275</xdr:colOff>
          <xdr:row>22</xdr:row>
          <xdr:rowOff>28575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22</xdr:row>
          <xdr:rowOff>200025</xdr:rowOff>
        </xdr:from>
        <xdr:to>
          <xdr:col>9</xdr:col>
          <xdr:colOff>1038225</xdr:colOff>
          <xdr:row>23</xdr:row>
          <xdr:rowOff>161925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161925</xdr:rowOff>
    </xdr:to>
    <xdr:sp macro="" textlink="">
      <xdr:nvSpPr>
        <xdr:cNvPr id="10241" name="Rectangle 1"/>
        <xdr:cNvSpPr>
          <a:spLocks noChangeArrowheads="1"/>
        </xdr:cNvSpPr>
      </xdr:nvSpPr>
      <xdr:spPr bwMode="auto">
        <a:xfrm>
          <a:off x="8582025" y="3076575"/>
          <a:ext cx="2000250" cy="409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10242" name="Rectangle 2"/>
        <xdr:cNvSpPr>
          <a:spLocks noChangeArrowheads="1"/>
        </xdr:cNvSpPr>
      </xdr:nvSpPr>
      <xdr:spPr bwMode="auto">
        <a:xfrm>
          <a:off x="12192000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16</xdr:row>
      <xdr:rowOff>247649</xdr:rowOff>
    </xdr:from>
    <xdr:to>
      <xdr:col>8</xdr:col>
      <xdr:colOff>962025</xdr:colOff>
      <xdr:row>18</xdr:row>
      <xdr:rowOff>123824</xdr:rowOff>
    </xdr:to>
    <xdr:sp macro="" textlink="">
      <xdr:nvSpPr>
        <xdr:cNvPr id="10243" name="Rectangle 3"/>
        <xdr:cNvSpPr>
          <a:spLocks noChangeArrowheads="1"/>
        </xdr:cNvSpPr>
      </xdr:nvSpPr>
      <xdr:spPr bwMode="auto">
        <a:xfrm>
          <a:off x="8591550" y="3571874"/>
          <a:ext cx="200025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24 de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10244" name="Rectangle 4"/>
        <xdr:cNvSpPr>
          <a:spLocks noChangeArrowheads="1"/>
        </xdr:cNvSpPr>
      </xdr:nvSpPr>
      <xdr:spPr bwMode="auto">
        <a:xfrm>
          <a:off x="12192000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85725</xdr:colOff>
      <xdr:row>19</xdr:row>
      <xdr:rowOff>28575</xdr:rowOff>
    </xdr:from>
    <xdr:to>
      <xdr:col>9</xdr:col>
      <xdr:colOff>504825</xdr:colOff>
      <xdr:row>20</xdr:row>
      <xdr:rowOff>28575</xdr:rowOff>
    </xdr:to>
    <xdr:sp macro="" textlink="">
      <xdr:nvSpPr>
        <xdr:cNvPr id="10245" name="Rectangle 5"/>
        <xdr:cNvSpPr>
          <a:spLocks noChangeArrowheads="1"/>
        </xdr:cNvSpPr>
      </xdr:nvSpPr>
      <xdr:spPr bwMode="auto">
        <a:xfrm>
          <a:off x="8601075" y="4095750"/>
          <a:ext cx="26479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10246" name="Rectangle 6"/>
        <xdr:cNvSpPr>
          <a:spLocks noChangeArrowheads="1"/>
        </xdr:cNvSpPr>
      </xdr:nvSpPr>
      <xdr:spPr bwMode="auto">
        <a:xfrm>
          <a:off x="6076950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10247" name="Rectangle 7"/>
        <xdr:cNvSpPr>
          <a:spLocks noChangeArrowheads="1"/>
        </xdr:cNvSpPr>
      </xdr:nvSpPr>
      <xdr:spPr bwMode="auto">
        <a:xfrm>
          <a:off x="6076950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10248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857500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409575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10249" name="Text Box 9"/>
        <xdr:cNvSpPr txBox="1">
          <a:spLocks noChangeArrowheads="1"/>
        </xdr:cNvSpPr>
      </xdr:nvSpPr>
      <xdr:spPr bwMode="auto">
        <a:xfrm>
          <a:off x="11982450" y="85725"/>
          <a:ext cx="2895600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</a:t>
          </a:r>
          <a:r>
            <a:rPr lang="en-US" sz="1600" b="1" i="0" baseline="0">
              <a:latin typeface="+mn-lt"/>
              <a:ea typeface="+mn-ea"/>
              <a:cs typeface="+mn-cs"/>
            </a:rPr>
            <a:t>Guatemala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104775</xdr:rowOff>
    </xdr:from>
    <xdr:to>
      <xdr:col>8</xdr:col>
      <xdr:colOff>333375</xdr:colOff>
      <xdr:row>9</xdr:row>
      <xdr:rowOff>19050</xdr:rowOff>
    </xdr:to>
    <xdr:pic>
      <xdr:nvPicPr>
        <xdr:cNvPr id="22825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86550" y="104775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415018</xdr:colOff>
      <xdr:row>15</xdr:row>
      <xdr:rowOff>180975</xdr:rowOff>
    </xdr:from>
    <xdr:to>
      <xdr:col>6</xdr:col>
      <xdr:colOff>938893</xdr:colOff>
      <xdr:row>18</xdr:row>
      <xdr:rowOff>142875</xdr:rowOff>
    </xdr:to>
    <xdr:sp macro="" textlink="">
      <xdr:nvSpPr>
        <xdr:cNvPr id="22826" name="Rectangle 13"/>
        <xdr:cNvSpPr>
          <a:spLocks noChangeArrowheads="1"/>
        </xdr:cNvSpPr>
      </xdr:nvSpPr>
      <xdr:spPr bwMode="auto">
        <a:xfrm>
          <a:off x="7232197" y="3269796"/>
          <a:ext cx="1639660" cy="696686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800100</xdr:colOff>
          <xdr:row>19</xdr:row>
          <xdr:rowOff>66675</xdr:rowOff>
        </xdr:from>
        <xdr:to>
          <xdr:col>9</xdr:col>
          <xdr:colOff>1076325</xdr:colOff>
          <xdr:row>20</xdr:row>
          <xdr:rowOff>38100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21</xdr:row>
          <xdr:rowOff>66675</xdr:rowOff>
        </xdr:from>
        <xdr:to>
          <xdr:col>9</xdr:col>
          <xdr:colOff>1076325</xdr:colOff>
          <xdr:row>22</xdr:row>
          <xdr:rowOff>28575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15</xdr:row>
      <xdr:rowOff>0</xdr:rowOff>
    </xdr:from>
    <xdr:to>
      <xdr:col>8</xdr:col>
      <xdr:colOff>952500</xdr:colOff>
      <xdr:row>16</xdr:row>
      <xdr:rowOff>161925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9105900" y="3076575"/>
          <a:ext cx="1428750" cy="409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10</xdr:col>
      <xdr:colOff>619125</xdr:colOff>
      <xdr:row>15</xdr:row>
      <xdr:rowOff>0</xdr:rowOff>
    </xdr:from>
    <xdr:to>
      <xdr:col>11</xdr:col>
      <xdr:colOff>857250</xdr:colOff>
      <xdr:row>16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12430125" y="3076575"/>
          <a:ext cx="1352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7</xdr:col>
      <xdr:colOff>76200</xdr:colOff>
      <xdr:row>16</xdr:row>
      <xdr:rowOff>247649</xdr:rowOff>
    </xdr:from>
    <xdr:to>
      <xdr:col>8</xdr:col>
      <xdr:colOff>962025</xdr:colOff>
      <xdr:row>18</xdr:row>
      <xdr:rowOff>123824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9115425" y="3571874"/>
          <a:ext cx="142875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24 de años):</a:t>
          </a:r>
        </a:p>
      </xdr:txBody>
    </xdr:sp>
    <xdr:clientData/>
  </xdr:twoCellAnchor>
  <xdr:twoCellAnchor>
    <xdr:from>
      <xdr:col>10</xdr:col>
      <xdr:colOff>619125</xdr:colOff>
      <xdr:row>17</xdr:row>
      <xdr:rowOff>0</xdr:rowOff>
    </xdr:from>
    <xdr:to>
      <xdr:col>11</xdr:col>
      <xdr:colOff>866775</xdr:colOff>
      <xdr:row>17</xdr:row>
      <xdr:rowOff>228600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12430125" y="3571875"/>
          <a:ext cx="1362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7</xdr:col>
      <xdr:colOff>85725</xdr:colOff>
      <xdr:row>19</xdr:row>
      <xdr:rowOff>28575</xdr:rowOff>
    </xdr:from>
    <xdr:to>
      <xdr:col>9</xdr:col>
      <xdr:colOff>504825</xdr:colOff>
      <xdr:row>20</xdr:row>
      <xdr:rowOff>28575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9124950" y="4095750"/>
          <a:ext cx="20764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Coberturas adicionales solicitadas :</a:t>
          </a:r>
        </a:p>
      </xdr:txBody>
    </xdr:sp>
    <xdr:clientData/>
  </xdr:twoCellAnchor>
  <xdr:twoCellAnchor>
    <xdr:from>
      <xdr:col>5</xdr:col>
      <xdr:colOff>76200</xdr:colOff>
      <xdr:row>13</xdr:row>
      <xdr:rowOff>0</xdr:rowOff>
    </xdr:from>
    <xdr:to>
      <xdr:col>6</xdr:col>
      <xdr:colOff>885825</xdr:colOff>
      <xdr:row>13</xdr:row>
      <xdr:rowOff>276225</xdr:rowOff>
    </xdr:to>
    <xdr:sp macro="" textlink="">
      <xdr:nvSpPr>
        <xdr:cNvPr id="7" name="Rectangle 6"/>
        <xdr:cNvSpPr>
          <a:spLocks noChangeArrowheads="1"/>
        </xdr:cNvSpPr>
      </xdr:nvSpPr>
      <xdr:spPr bwMode="auto">
        <a:xfrm>
          <a:off x="6886575" y="2581275"/>
          <a:ext cx="19240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5</xdr:col>
      <xdr:colOff>76200</xdr:colOff>
      <xdr:row>11</xdr:row>
      <xdr:rowOff>0</xdr:rowOff>
    </xdr:from>
    <xdr:to>
      <xdr:col>6</xdr:col>
      <xdr:colOff>885825</xdr:colOff>
      <xdr:row>12</xdr:row>
      <xdr:rowOff>38100</xdr:rowOff>
    </xdr:to>
    <xdr:sp macro="" textlink="">
      <xdr:nvSpPr>
        <xdr:cNvPr id="8" name="Rectangle 7"/>
        <xdr:cNvSpPr>
          <a:spLocks noChangeArrowheads="1"/>
        </xdr:cNvSpPr>
      </xdr:nvSpPr>
      <xdr:spPr bwMode="auto">
        <a:xfrm>
          <a:off x="6886575" y="2085975"/>
          <a:ext cx="19240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276225</xdr:colOff>
      <xdr:row>3</xdr:row>
      <xdr:rowOff>57150</xdr:rowOff>
    </xdr:from>
    <xdr:to>
      <xdr:col>1</xdr:col>
      <xdr:colOff>800100</xdr:colOff>
      <xdr:row>5</xdr:row>
      <xdr:rowOff>133350</xdr:rowOff>
    </xdr:to>
    <xdr:sp macro="" textlink="">
      <xdr:nvSpPr>
        <xdr:cNvPr id="9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76225" y="542925"/>
          <a:ext cx="2857500" cy="400050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>
    <xdr:from>
      <xdr:col>10</xdr:col>
      <xdr:colOff>409575</xdr:colOff>
      <xdr:row>0</xdr:row>
      <xdr:rowOff>85725</xdr:rowOff>
    </xdr:from>
    <xdr:to>
      <xdr:col>12</xdr:col>
      <xdr:colOff>1076325</xdr:colOff>
      <xdr:row>9</xdr:row>
      <xdr:rowOff>200025</xdr:rowOff>
    </xdr:to>
    <xdr:sp macro="" textlink="">
      <xdr:nvSpPr>
        <xdr:cNvPr id="10" name="Text Box 9"/>
        <xdr:cNvSpPr txBox="1">
          <a:spLocks noChangeArrowheads="1"/>
        </xdr:cNvSpPr>
      </xdr:nvSpPr>
      <xdr:spPr bwMode="auto">
        <a:xfrm>
          <a:off x="12220575" y="85725"/>
          <a:ext cx="2895600" cy="1609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0" tIns="22860" rIns="36576" bIns="0" anchor="t" upright="1"/>
        <a:lstStyle/>
        <a:p>
          <a:pPr algn="r" rtl="0" fontAlgn="base"/>
          <a:r>
            <a:rPr lang="es-ES" sz="1600" b="1" i="0" baseline="0">
              <a:latin typeface="+mn-lt"/>
              <a:ea typeface="+mn-ea"/>
              <a:cs typeface="+mn-cs"/>
            </a:rPr>
            <a:t>Bupa </a:t>
          </a:r>
          <a:r>
            <a:rPr lang="en-US" sz="1600" b="1" i="0" baseline="0">
              <a:latin typeface="+mn-lt"/>
              <a:ea typeface="+mn-ea"/>
              <a:cs typeface="+mn-cs"/>
            </a:rPr>
            <a:t>Guatemala</a:t>
          </a:r>
          <a:endParaRPr lang="es-ES" sz="1600"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400050</xdr:colOff>
      <xdr:row>0</xdr:row>
      <xdr:rowOff>104775</xdr:rowOff>
    </xdr:from>
    <xdr:to>
      <xdr:col>8</xdr:col>
      <xdr:colOff>404813</xdr:colOff>
      <xdr:row>9</xdr:row>
      <xdr:rowOff>19050</xdr:rowOff>
    </xdr:to>
    <xdr:pic>
      <xdr:nvPicPr>
        <xdr:cNvPr id="11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10425" y="104775"/>
          <a:ext cx="2895600" cy="1409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333375</xdr:colOff>
      <xdr:row>15</xdr:row>
      <xdr:rowOff>180975</xdr:rowOff>
    </xdr:from>
    <xdr:to>
      <xdr:col>6</xdr:col>
      <xdr:colOff>884465</xdr:colOff>
      <xdr:row>18</xdr:row>
      <xdr:rowOff>142875</xdr:rowOff>
    </xdr:to>
    <xdr:sp macro="" textlink="">
      <xdr:nvSpPr>
        <xdr:cNvPr id="12" name="Rectangle 13"/>
        <xdr:cNvSpPr>
          <a:spLocks noChangeArrowheads="1"/>
        </xdr:cNvSpPr>
      </xdr:nvSpPr>
      <xdr:spPr bwMode="auto">
        <a:xfrm>
          <a:off x="7150554" y="3269796"/>
          <a:ext cx="1666875" cy="696686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800100</xdr:colOff>
          <xdr:row>19</xdr:row>
          <xdr:rowOff>66675</xdr:rowOff>
        </xdr:from>
        <xdr:to>
          <xdr:col>9</xdr:col>
          <xdr:colOff>1076325</xdr:colOff>
          <xdr:row>20</xdr:row>
          <xdr:rowOff>38100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21</xdr:row>
          <xdr:rowOff>66675</xdr:rowOff>
        </xdr:from>
        <xdr:to>
          <xdr:col>9</xdr:col>
          <xdr:colOff>1076325</xdr:colOff>
          <xdr:row>22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107015</xdr:colOff>
      <xdr:row>16</xdr:row>
      <xdr:rowOff>139512</xdr:rowOff>
    </xdr:from>
    <xdr:to>
      <xdr:col>3</xdr:col>
      <xdr:colOff>1066800</xdr:colOff>
      <xdr:row>18</xdr:row>
      <xdr:rowOff>104774</xdr:rowOff>
    </xdr:to>
    <xdr:sp macro="" textlink="">
      <xdr:nvSpPr>
        <xdr:cNvPr id="12289" name="Rectangle 1"/>
        <xdr:cNvSpPr>
          <a:spLocks noChangeArrowheads="1"/>
        </xdr:cNvSpPr>
      </xdr:nvSpPr>
      <xdr:spPr bwMode="auto">
        <a:xfrm>
          <a:off x="3793190" y="2997012"/>
          <a:ext cx="2074210" cy="35578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de adultos en la póliza:</a:t>
          </a:r>
        </a:p>
      </xdr:txBody>
    </xdr:sp>
    <xdr:clientData/>
  </xdr:twoCellAnchor>
  <xdr:twoCellAnchor>
    <xdr:from>
      <xdr:col>5</xdr:col>
      <xdr:colOff>828114</xdr:colOff>
      <xdr:row>16</xdr:row>
      <xdr:rowOff>142314</xdr:rowOff>
    </xdr:from>
    <xdr:to>
      <xdr:col>6</xdr:col>
      <xdr:colOff>1066241</xdr:colOff>
      <xdr:row>17</xdr:row>
      <xdr:rowOff>239245</xdr:rowOff>
    </xdr:to>
    <xdr:sp macro="" textlink="">
      <xdr:nvSpPr>
        <xdr:cNvPr id="12290" name="Rectangle 2"/>
        <xdr:cNvSpPr>
          <a:spLocks noChangeArrowheads="1"/>
        </xdr:cNvSpPr>
      </xdr:nvSpPr>
      <xdr:spPr bwMode="auto">
        <a:xfrm>
          <a:off x="7857564" y="2999814"/>
          <a:ext cx="1352552" cy="2398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Titular :</a:t>
          </a:r>
        </a:p>
      </xdr:txBody>
    </xdr:sp>
    <xdr:clientData/>
  </xdr:twoCellAnchor>
  <xdr:twoCellAnchor>
    <xdr:from>
      <xdr:col>2</xdr:col>
      <xdr:colOff>97490</xdr:colOff>
      <xdr:row>19</xdr:row>
      <xdr:rowOff>1120</xdr:rowOff>
    </xdr:from>
    <xdr:to>
      <xdr:col>3</xdr:col>
      <xdr:colOff>1057275</xdr:colOff>
      <xdr:row>20</xdr:row>
      <xdr:rowOff>123825</xdr:rowOff>
    </xdr:to>
    <xdr:sp macro="" textlink="">
      <xdr:nvSpPr>
        <xdr:cNvPr id="12291" name="Rectangle 3"/>
        <xdr:cNvSpPr>
          <a:spLocks noChangeArrowheads="1"/>
        </xdr:cNvSpPr>
      </xdr:nvSpPr>
      <xdr:spPr bwMode="auto">
        <a:xfrm>
          <a:off x="3783665" y="3496795"/>
          <a:ext cx="2074210" cy="37035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Número hijos (menos de 24 años):</a:t>
          </a:r>
        </a:p>
      </xdr:txBody>
    </xdr:sp>
    <xdr:clientData/>
  </xdr:twoCellAnchor>
  <xdr:twoCellAnchor>
    <xdr:from>
      <xdr:col>5</xdr:col>
      <xdr:colOff>809064</xdr:colOff>
      <xdr:row>19</xdr:row>
      <xdr:rowOff>29695</xdr:rowOff>
    </xdr:from>
    <xdr:to>
      <xdr:col>6</xdr:col>
      <xdr:colOff>1056716</xdr:colOff>
      <xdr:row>20</xdr:row>
      <xdr:rowOff>3922</xdr:rowOff>
    </xdr:to>
    <xdr:sp macro="" textlink="">
      <xdr:nvSpPr>
        <xdr:cNvPr id="12292" name="Rectangle 4"/>
        <xdr:cNvSpPr>
          <a:spLocks noChangeArrowheads="1"/>
        </xdr:cNvSpPr>
      </xdr:nvSpPr>
      <xdr:spPr bwMode="auto">
        <a:xfrm>
          <a:off x="7838514" y="3525370"/>
          <a:ext cx="1362077" cy="221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MS Reference Sans Serif"/>
            </a:rPr>
            <a:t>Edad de Cónyuge:</a:t>
          </a:r>
        </a:p>
      </xdr:txBody>
    </xdr:sp>
    <xdr:clientData/>
  </xdr:twoCellAnchor>
  <xdr:twoCellAnchor>
    <xdr:from>
      <xdr:col>0</xdr:col>
      <xdr:colOff>561975</xdr:colOff>
      <xdr:row>15</xdr:row>
      <xdr:rowOff>3362</xdr:rowOff>
    </xdr:from>
    <xdr:to>
      <xdr:col>1</xdr:col>
      <xdr:colOff>1371600</xdr:colOff>
      <xdr:row>16</xdr:row>
      <xdr:rowOff>4482</xdr:rowOff>
    </xdr:to>
    <xdr:sp macro="" textlink="">
      <xdr:nvSpPr>
        <xdr:cNvPr id="12294" name="Rectangle 6"/>
        <xdr:cNvSpPr>
          <a:spLocks noChangeArrowheads="1"/>
        </xdr:cNvSpPr>
      </xdr:nvSpPr>
      <xdr:spPr bwMode="auto">
        <a:xfrm>
          <a:off x="561975" y="2613212"/>
          <a:ext cx="3028950" cy="2487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Broker / Agente :</a:t>
          </a:r>
        </a:p>
      </xdr:txBody>
    </xdr:sp>
    <xdr:clientData/>
  </xdr:twoCellAnchor>
  <xdr:twoCellAnchor>
    <xdr:from>
      <xdr:col>0</xdr:col>
      <xdr:colOff>561975</xdr:colOff>
      <xdr:row>12</xdr:row>
      <xdr:rowOff>93009</xdr:rowOff>
    </xdr:from>
    <xdr:to>
      <xdr:col>1</xdr:col>
      <xdr:colOff>1381125</xdr:colOff>
      <xdr:row>14</xdr:row>
      <xdr:rowOff>24093</xdr:rowOff>
    </xdr:to>
    <xdr:sp macro="" textlink="">
      <xdr:nvSpPr>
        <xdr:cNvPr id="12295" name="Rectangle 7"/>
        <xdr:cNvSpPr>
          <a:spLocks noChangeArrowheads="1"/>
        </xdr:cNvSpPr>
      </xdr:nvSpPr>
      <xdr:spPr bwMode="auto">
        <a:xfrm>
          <a:off x="561975" y="2207559"/>
          <a:ext cx="3038475" cy="28350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MS Reference Sans Serif"/>
            </a:rPr>
            <a:t>Nombre del asegurado :</a:t>
          </a:r>
        </a:p>
      </xdr:txBody>
    </xdr:sp>
    <xdr:clientData/>
  </xdr:twoCellAnchor>
  <xdr:twoCellAnchor>
    <xdr:from>
      <xdr:col>0</xdr:col>
      <xdr:colOff>361950</xdr:colOff>
      <xdr:row>3</xdr:row>
      <xdr:rowOff>0</xdr:rowOff>
    </xdr:from>
    <xdr:to>
      <xdr:col>1</xdr:col>
      <xdr:colOff>1009650</xdr:colOff>
      <xdr:row>5</xdr:row>
      <xdr:rowOff>85725</xdr:rowOff>
    </xdr:to>
    <xdr:sp macro="" textlink="">
      <xdr:nvSpPr>
        <xdr:cNvPr id="12296" name="Text Box 8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361950" y="485775"/>
          <a:ext cx="2867025" cy="409575"/>
        </a:xfrm>
        <a:prstGeom prst="rect">
          <a:avLst/>
        </a:prstGeom>
        <a:solidFill>
          <a:srgbClr val="339966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FFFFFF"/>
              </a:solidFill>
              <a:latin typeface="Microsoft Sans Serif"/>
              <a:cs typeface="Microsoft Sans Serif"/>
            </a:rPr>
            <a:t>VOLVER A INGRESO DE DATOS</a:t>
          </a:r>
        </a:p>
      </xdr:txBody>
    </xdr:sp>
    <xdr:clientData fPrintsWithSheet="0"/>
  </xdr:twoCellAnchor>
  <xdr:twoCellAnchor editAs="oneCell">
    <xdr:from>
      <xdr:col>2</xdr:col>
      <xdr:colOff>123825</xdr:colOff>
      <xdr:row>0</xdr:row>
      <xdr:rowOff>104775</xdr:rowOff>
    </xdr:from>
    <xdr:to>
      <xdr:col>4</xdr:col>
      <xdr:colOff>790575</xdr:colOff>
      <xdr:row>9</xdr:row>
      <xdr:rowOff>9525</xdr:rowOff>
    </xdr:to>
    <xdr:pic>
      <xdr:nvPicPr>
        <xdr:cNvPr id="24755" name="Picture 12" descr="Nuevo logo BUPA (color)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00" y="104775"/>
          <a:ext cx="2895600" cy="1400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514350</xdr:colOff>
      <xdr:row>17</xdr:row>
      <xdr:rowOff>180975</xdr:rowOff>
    </xdr:from>
    <xdr:to>
      <xdr:col>1</xdr:col>
      <xdr:colOff>971550</xdr:colOff>
      <xdr:row>20</xdr:row>
      <xdr:rowOff>152400</xdr:rowOff>
    </xdr:to>
    <xdr:sp macro="" textlink="">
      <xdr:nvSpPr>
        <xdr:cNvPr id="24756" name="Rectangle 13"/>
        <xdr:cNvSpPr>
          <a:spLocks noChangeArrowheads="1"/>
        </xdr:cNvSpPr>
      </xdr:nvSpPr>
      <xdr:spPr bwMode="auto">
        <a:xfrm>
          <a:off x="514350" y="3181350"/>
          <a:ext cx="2676525" cy="714375"/>
        </a:xfrm>
        <a:prstGeom prst="rect">
          <a:avLst/>
        </a:prstGeom>
        <a:noFill/>
        <a:ln w="25400" algn="ctr">
          <a:solidFill>
            <a:srgbClr val="008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25</xdr:row>
          <xdr:rowOff>38100</xdr:rowOff>
        </xdr:from>
        <xdr:to>
          <xdr:col>8</xdr:col>
          <xdr:colOff>514350</xdr:colOff>
          <xdr:row>26</xdr:row>
          <xdr:rowOff>9525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L22"/>
  <sheetViews>
    <sheetView showGridLines="0" topLeftCell="A7" zoomScale="80" zoomScaleNormal="80" zoomScalePageLayoutView="80" workbookViewId="0">
      <selection activeCell="J16" sqref="J16"/>
    </sheetView>
  </sheetViews>
  <sheetFormatPr baseColWidth="10" defaultColWidth="20.42578125" defaultRowHeight="18.75" x14ac:dyDescent="0.3"/>
  <cols>
    <col min="1" max="1" width="14.85546875" style="9" customWidth="1"/>
    <col min="2" max="10" width="20.42578125" style="9" customWidth="1"/>
    <col min="11" max="11" width="4.42578125" style="9" customWidth="1"/>
    <col min="12" max="16384" width="20.42578125" style="9"/>
  </cols>
  <sheetData>
    <row r="1" spans="1:12" ht="12.75" customHeight="1" x14ac:dyDescent="0.3"/>
    <row r="2" spans="1:12" x14ac:dyDescent="0.3">
      <c r="I2" s="9" t="s">
        <v>4</v>
      </c>
      <c r="J2" s="9" t="s">
        <v>4</v>
      </c>
      <c r="K2" s="9" t="s">
        <v>4</v>
      </c>
    </row>
    <row r="6" spans="1:12" x14ac:dyDescent="0.3">
      <c r="I6" s="10" t="s">
        <v>4</v>
      </c>
      <c r="J6" s="10" t="s">
        <v>4</v>
      </c>
      <c r="K6" s="10" t="s">
        <v>4</v>
      </c>
      <c r="L6" s="11" t="s">
        <v>4</v>
      </c>
    </row>
    <row r="8" spans="1:12" s="13" customFormat="1" ht="24.75" x14ac:dyDescent="0.3">
      <c r="A8" s="183" t="s">
        <v>120</v>
      </c>
      <c r="B8" s="183"/>
      <c r="C8" s="183"/>
      <c r="D8" s="183"/>
      <c r="E8" s="183"/>
      <c r="F8" s="183"/>
      <c r="G8" s="183"/>
      <c r="H8" s="183"/>
      <c r="I8" s="183"/>
      <c r="J8" s="183"/>
      <c r="K8" s="12"/>
      <c r="L8" s="12"/>
    </row>
    <row r="10" spans="1:12" x14ac:dyDescent="0.3">
      <c r="A10" s="14" t="s">
        <v>121</v>
      </c>
    </row>
    <row r="12" spans="1:12" x14ac:dyDescent="0.3">
      <c r="B12" s="15" t="s">
        <v>122</v>
      </c>
      <c r="C12" s="15"/>
      <c r="D12" s="186" t="s">
        <v>266</v>
      </c>
      <c r="E12" s="187"/>
      <c r="F12" s="187"/>
      <c r="G12" s="187"/>
      <c r="H12" s="187"/>
      <c r="I12" s="187"/>
      <c r="J12" s="188"/>
    </row>
    <row r="13" spans="1:12" ht="9.6" customHeight="1" x14ac:dyDescent="0.3">
      <c r="D13" s="15"/>
      <c r="E13" s="15"/>
      <c r="F13" s="15"/>
      <c r="G13" s="15"/>
    </row>
    <row r="14" spans="1:12" x14ac:dyDescent="0.3">
      <c r="D14" s="189" t="s">
        <v>123</v>
      </c>
      <c r="E14" s="189"/>
      <c r="F14" s="185"/>
      <c r="G14" s="18">
        <v>1</v>
      </c>
      <c r="H14" s="184" t="s">
        <v>128</v>
      </c>
      <c r="I14" s="185"/>
      <c r="J14" s="18">
        <v>3</v>
      </c>
    </row>
    <row r="15" spans="1:12" ht="9.6" customHeight="1" x14ac:dyDescent="0.3">
      <c r="D15" s="15"/>
      <c r="E15" s="15"/>
      <c r="F15" s="15"/>
      <c r="G15" s="15"/>
    </row>
    <row r="16" spans="1:12" x14ac:dyDescent="0.3">
      <c r="D16" s="16"/>
      <c r="E16" s="16" t="s">
        <v>124</v>
      </c>
      <c r="F16" s="17"/>
      <c r="G16" s="18">
        <v>38</v>
      </c>
      <c r="H16" s="184" t="s">
        <v>125</v>
      </c>
      <c r="I16" s="185"/>
      <c r="J16" s="18">
        <v>18</v>
      </c>
    </row>
    <row r="18" spans="1:7" x14ac:dyDescent="0.3">
      <c r="A18" s="14" t="s">
        <v>129</v>
      </c>
    </row>
    <row r="20" spans="1:7" x14ac:dyDescent="0.3">
      <c r="B20" s="9" t="s">
        <v>126</v>
      </c>
      <c r="D20" s="186" t="s">
        <v>149</v>
      </c>
      <c r="E20" s="187"/>
      <c r="F20" s="187"/>
      <c r="G20" s="188"/>
    </row>
    <row r="22" spans="1:7" x14ac:dyDescent="0.3">
      <c r="A22" s="14" t="s">
        <v>127</v>
      </c>
    </row>
  </sheetData>
  <sheetProtection password="9A3C" sheet="1" objects="1" scenarios="1" selectLockedCells="1"/>
  <mergeCells count="6">
    <mergeCell ref="A8:J8"/>
    <mergeCell ref="H16:I16"/>
    <mergeCell ref="D12:J12"/>
    <mergeCell ref="D20:G20"/>
    <mergeCell ref="D14:F14"/>
    <mergeCell ref="H14:I14"/>
  </mergeCells>
  <phoneticPr fontId="5" type="noConversion"/>
  <conditionalFormatting sqref="G16">
    <cfRule type="cellIs" dxfId="37" priority="1" stopIfTrue="1" operator="lessThan">
      <formula>18</formula>
    </cfRule>
    <cfRule type="cellIs" dxfId="36" priority="2" stopIfTrue="1" operator="greaterThan">
      <formula>74</formula>
    </cfRule>
  </conditionalFormatting>
  <conditionalFormatting sqref="G14">
    <cfRule type="cellIs" dxfId="35" priority="3" stopIfTrue="1" operator="equal">
      <formula>0</formula>
    </cfRule>
    <cfRule type="cellIs" dxfId="34" priority="4" stopIfTrue="1" operator="greaterThan">
      <formula>2</formula>
    </cfRule>
  </conditionalFormatting>
  <conditionalFormatting sqref="J16">
    <cfRule type="cellIs" dxfId="33" priority="5" stopIfTrue="1" operator="greaterThan">
      <formula>74</formula>
    </cfRule>
    <cfRule type="cellIs" dxfId="32" priority="6" stopIfTrue="1" operator="equal">
      <formula>0</formula>
    </cfRule>
  </conditionalFormatting>
  <pageMargins left="0.25" right="0.25" top="0.25" bottom="0.25" header="0.511811023622047" footer="0.511811023622047"/>
  <pageSetup paperSize="9" scale="64" orientation="landscape" horizontalDpi="300" verticalDpi="300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M58"/>
  <sheetViews>
    <sheetView showGridLines="0" topLeftCell="A10" zoomScale="70" zoomScaleNormal="70" workbookViewId="0"/>
  </sheetViews>
  <sheetFormatPr baseColWidth="10" defaultColWidth="8.85546875" defaultRowHeight="12.75" x14ac:dyDescent="0.2"/>
  <cols>
    <col min="1" max="1" width="33.7109375" style="19" customWidth="1"/>
    <col min="2" max="2" width="19.7109375" style="19" customWidth="1"/>
    <col min="3" max="3" width="22.7109375" style="19" customWidth="1"/>
    <col min="4" max="4" width="30.140625" style="19" customWidth="1"/>
    <col min="5" max="5" width="1.42578125" style="20" customWidth="1"/>
    <col min="6" max="6" width="16.7109375" style="19" customWidth="1"/>
    <col min="7" max="7" width="17.7109375" style="19" customWidth="1"/>
    <col min="8" max="8" width="8.140625" style="19" bestFit="1" customWidth="1"/>
    <col min="9" max="13" width="16.7109375" style="19" customWidth="1"/>
    <col min="14" max="16384" width="8.85546875" style="19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237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3.25" x14ac:dyDescent="0.35">
      <c r="A12" s="206" t="s">
        <v>236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166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117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1" customFormat="1" ht="20.100000000000001" customHeight="1" x14ac:dyDescent="0.2">
      <c r="A17" s="193" t="s">
        <v>95</v>
      </c>
      <c r="B17" s="193"/>
      <c r="C17" s="195" t="s">
        <v>206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1" customFormat="1" ht="14.25" x14ac:dyDescent="0.2">
      <c r="A18" s="194" t="s">
        <v>96</v>
      </c>
      <c r="B18" s="194"/>
      <c r="C18" s="211" t="s">
        <v>182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30.75" customHeight="1" x14ac:dyDescent="0.2">
      <c r="A19" s="194"/>
      <c r="B19" s="194"/>
      <c r="C19" s="211"/>
      <c r="D19" s="211"/>
      <c r="E19" s="36"/>
      <c r="F19" s="35"/>
      <c r="G19" s="37"/>
      <c r="H19" s="38"/>
      <c r="I19" s="35"/>
      <c r="J19" s="35" t="s">
        <v>4</v>
      </c>
      <c r="K19" s="35" t="s">
        <v>4</v>
      </c>
      <c r="L19" s="35" t="s">
        <v>4</v>
      </c>
      <c r="M19" s="35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35"/>
      <c r="G20" s="35"/>
      <c r="H20" s="35"/>
      <c r="I20" s="87" t="b">
        <v>0</v>
      </c>
      <c r="J20" s="35"/>
      <c r="K20" s="86" t="s">
        <v>83</v>
      </c>
      <c r="L20" s="35"/>
      <c r="M20" s="35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35"/>
      <c r="G21" s="35"/>
      <c r="H21" s="35"/>
      <c r="I21" s="35"/>
      <c r="J21" s="35"/>
      <c r="K21" s="40"/>
      <c r="L21" s="35"/>
      <c r="M21" s="39"/>
    </row>
    <row r="22" spans="1:13" s="7" customFormat="1" ht="19.5" customHeight="1" x14ac:dyDescent="0.2">
      <c r="A22" s="194"/>
      <c r="B22" s="194"/>
      <c r="C22" s="199" t="s">
        <v>185</v>
      </c>
      <c r="D22" s="199"/>
      <c r="E22" s="33"/>
      <c r="F22" s="26"/>
      <c r="G22" s="26"/>
      <c r="H22" s="26"/>
      <c r="I22" s="26" t="s">
        <v>4</v>
      </c>
      <c r="J22" s="39" t="b">
        <v>0</v>
      </c>
      <c r="K22" s="41"/>
      <c r="L22" s="26"/>
      <c r="M22" s="26"/>
    </row>
    <row r="23" spans="1:13" s="7" customFormat="1" ht="20.100000000000001" customHeight="1" x14ac:dyDescent="0.2">
      <c r="A23" s="193" t="s">
        <v>99</v>
      </c>
      <c r="B23" s="193"/>
      <c r="C23" s="195" t="s">
        <v>178</v>
      </c>
      <c r="D23" s="195"/>
      <c r="E23" s="33"/>
      <c r="F23" s="26"/>
      <c r="G23" s="26"/>
      <c r="H23" s="26"/>
      <c r="I23" s="26"/>
      <c r="J23" s="39"/>
      <c r="K23" s="41"/>
      <c r="L23" s="26"/>
      <c r="M23" s="26"/>
    </row>
    <row r="24" spans="1:13" s="7" customFormat="1" ht="20.100000000000001" customHeight="1" x14ac:dyDescent="0.2">
      <c r="A24" s="193"/>
      <c r="B24" s="193"/>
      <c r="C24" s="195" t="s">
        <v>186</v>
      </c>
      <c r="D24" s="195"/>
      <c r="E24" s="33"/>
      <c r="F24" s="26"/>
      <c r="G24" s="42" t="s">
        <v>4</v>
      </c>
      <c r="H24" s="26"/>
      <c r="I24" s="26"/>
      <c r="J24" s="26"/>
      <c r="K24" s="26"/>
      <c r="L24" s="26"/>
      <c r="M24" s="26"/>
    </row>
    <row r="25" spans="1:13" s="22" customFormat="1" ht="20.100000000000001" customHeight="1" x14ac:dyDescent="0.25">
      <c r="A25" s="194" t="s">
        <v>100</v>
      </c>
      <c r="B25" s="194"/>
      <c r="C25" s="198" t="s">
        <v>201</v>
      </c>
      <c r="D25" s="198"/>
      <c r="E25" s="33"/>
      <c r="F25" s="43" t="s">
        <v>91</v>
      </c>
      <c r="G25" s="44"/>
      <c r="H25" s="156" t="s">
        <v>85</v>
      </c>
      <c r="I25" s="45" t="s">
        <v>86</v>
      </c>
      <c r="J25" s="45" t="s">
        <v>87</v>
      </c>
      <c r="K25" s="45" t="s">
        <v>88</v>
      </c>
      <c r="L25" s="45" t="s">
        <v>89</v>
      </c>
      <c r="M25" s="46" t="s">
        <v>90</v>
      </c>
    </row>
    <row r="26" spans="1:13" s="23" customFormat="1" ht="20.100000000000001" customHeight="1" x14ac:dyDescent="0.2">
      <c r="A26" s="193" t="s">
        <v>101</v>
      </c>
      <c r="B26" s="193"/>
      <c r="C26" s="195" t="s">
        <v>130</v>
      </c>
      <c r="D26" s="195"/>
      <c r="E26" s="33"/>
      <c r="F26" s="47" t="s">
        <v>176</v>
      </c>
      <c r="G26" s="48"/>
      <c r="H26" s="129" t="s">
        <v>177</v>
      </c>
      <c r="I26" s="48">
        <v>1000</v>
      </c>
      <c r="J26" s="48">
        <v>2000</v>
      </c>
      <c r="K26" s="48">
        <v>5000</v>
      </c>
      <c r="L26" s="48">
        <v>10000</v>
      </c>
      <c r="M26" s="49">
        <v>20000</v>
      </c>
    </row>
    <row r="27" spans="1:13" s="23" customFormat="1" ht="20.100000000000001" customHeight="1" x14ac:dyDescent="0.2">
      <c r="A27" s="194" t="s">
        <v>102</v>
      </c>
      <c r="B27" s="194"/>
      <c r="C27" s="198" t="s">
        <v>131</v>
      </c>
      <c r="D27" s="198"/>
      <c r="E27" s="33"/>
      <c r="F27" s="50" t="s">
        <v>175</v>
      </c>
      <c r="G27" s="51"/>
      <c r="H27" s="131" t="s">
        <v>177</v>
      </c>
      <c r="I27" s="52">
        <v>2000</v>
      </c>
      <c r="J27" s="52">
        <v>3000</v>
      </c>
      <c r="K27" s="52">
        <v>5000</v>
      </c>
      <c r="L27" s="52">
        <v>10000</v>
      </c>
      <c r="M27" s="53">
        <v>20000</v>
      </c>
    </row>
    <row r="28" spans="1:13" s="23" customFormat="1" ht="20.100000000000001" customHeight="1" x14ac:dyDescent="0.2">
      <c r="A28" s="193" t="s">
        <v>103</v>
      </c>
      <c r="B28" s="193"/>
      <c r="C28" s="200">
        <v>1000000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23" customFormat="1" ht="20.100000000000001" customHeight="1" x14ac:dyDescent="0.2">
      <c r="A29" s="194" t="s">
        <v>104</v>
      </c>
      <c r="B29" s="194"/>
      <c r="C29" s="198" t="s">
        <v>187</v>
      </c>
      <c r="D29" s="198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24" customFormat="1" ht="20.100000000000001" customHeight="1" x14ac:dyDescent="0.2">
      <c r="A30" s="193" t="s">
        <v>105</v>
      </c>
      <c r="B30" s="193"/>
      <c r="C30" s="196" t="s">
        <v>153</v>
      </c>
      <c r="D30" s="196"/>
      <c r="E30" s="33"/>
      <c r="F30" s="56" t="s">
        <v>27</v>
      </c>
      <c r="G30" s="57"/>
      <c r="H30" s="57"/>
      <c r="I30" s="57"/>
      <c r="J30" s="57"/>
      <c r="K30" s="57"/>
      <c r="L30" s="57"/>
      <c r="M30" s="58"/>
    </row>
    <row r="31" spans="1:13" s="23" customFormat="1" ht="20.100000000000001" customHeight="1" x14ac:dyDescent="0.2">
      <c r="A31" s="194" t="s">
        <v>179</v>
      </c>
      <c r="B31" s="194"/>
      <c r="C31" s="210" t="s">
        <v>22</v>
      </c>
      <c r="D31" s="210"/>
      <c r="E31" s="33"/>
      <c r="F31" s="25" t="s">
        <v>15</v>
      </c>
      <c r="G31" s="59"/>
      <c r="H31" s="130" t="s">
        <v>177</v>
      </c>
      <c r="I31" s="60">
        <f>VLOOKUP($M$16,Tablas!$A$6:$H$29,4,TRUE)</f>
        <v>5820</v>
      </c>
      <c r="J31" s="60">
        <f>VLOOKUP($M$16,Tablas!$A$6:$H$29,5,TRUE)</f>
        <v>4324</v>
      </c>
      <c r="K31" s="60">
        <f>VLOOKUP($M$16,Tablas!$A$6:$H$29,6,TRUE)</f>
        <v>3251</v>
      </c>
      <c r="L31" s="60">
        <f>VLOOKUP($M$16,Tablas!$A$6:$H$29,7,TRUE)</f>
        <v>2471</v>
      </c>
      <c r="M31" s="59">
        <f>VLOOKUP($M$16,Tablas!$A$6:$H$29,8,TRUE)</f>
        <v>1886</v>
      </c>
    </row>
    <row r="32" spans="1:13" s="23" customFormat="1" ht="20.100000000000001" customHeight="1" x14ac:dyDescent="0.2">
      <c r="A32" s="194"/>
      <c r="B32" s="194"/>
      <c r="C32" s="199" t="s">
        <v>119</v>
      </c>
      <c r="D32" s="199"/>
      <c r="E32" s="61"/>
      <c r="F32" s="62" t="s">
        <v>16</v>
      </c>
      <c r="G32" s="63"/>
      <c r="H32" s="134" t="s">
        <v>177</v>
      </c>
      <c r="I32" s="64">
        <f>IF($J$16=1,0,(VLOOKUP($M$18,Tablas!$A$6:$H$29,4,TRUE)))</f>
        <v>0</v>
      </c>
      <c r="J32" s="64">
        <f>IF($J$16=1,0,(VLOOKUP($M$18,Tablas!$A$6:$H$29,5,TRUE)))</f>
        <v>0</v>
      </c>
      <c r="K32" s="64">
        <f>IF($J$16=1,0,(VLOOKUP($M$18,Tablas!$A$6:$H$29,6,TRUE)))</f>
        <v>0</v>
      </c>
      <c r="L32" s="64">
        <f>IF($J$16=1,0,(VLOOKUP($M$18,Tablas!$A$6:$H$29,7,TRUE)))</f>
        <v>0</v>
      </c>
      <c r="M32" s="63">
        <f>IF($J$16=1,0,(VLOOKUP($M$18,Tablas!$A$6:$H$29,8,TRUE)))</f>
        <v>0</v>
      </c>
    </row>
    <row r="33" spans="1:13" s="23" customFormat="1" ht="20.100000000000001" customHeight="1" x14ac:dyDescent="0.2">
      <c r="A33" s="193" t="s">
        <v>106</v>
      </c>
      <c r="B33" s="193"/>
      <c r="C33" s="195" t="s">
        <v>132</v>
      </c>
      <c r="D33" s="195"/>
      <c r="E33" s="33"/>
      <c r="F33" s="65" t="s">
        <v>17</v>
      </c>
      <c r="G33" s="66"/>
      <c r="H33" s="134" t="s">
        <v>177</v>
      </c>
      <c r="I33" s="67">
        <f>IF($J$18=0,0,(VLOOKUP($J$18,Tablas!$A$30:$H$32,4,TRUE)))</f>
        <v>3836</v>
      </c>
      <c r="J33" s="67">
        <f>IF($J$18=0,0,(VLOOKUP($J$18,Tablas!$A$30:$H$32,5,TRUE)))</f>
        <v>2796</v>
      </c>
      <c r="K33" s="67">
        <f>IF($J$18=0,0,(VLOOKUP($J$18,Tablas!$A$30:$H$32,6,TRUE)))</f>
        <v>2211</v>
      </c>
      <c r="L33" s="67">
        <f>IF($J$18=0,0,(VLOOKUP($J$18,Tablas!$A$30:$H$32,7,TRUE)))</f>
        <v>1853</v>
      </c>
      <c r="M33" s="66">
        <f>IF($J$18=0,0,(VLOOKUP($J$18,Tablas!$A$30:$H$32,8,TRUE)))</f>
        <v>1366</v>
      </c>
    </row>
    <row r="34" spans="1:13" s="23" customFormat="1" ht="20.100000000000001" customHeight="1" x14ac:dyDescent="0.2">
      <c r="A34" s="194" t="s">
        <v>107</v>
      </c>
      <c r="B34" s="194"/>
      <c r="C34" s="197">
        <v>125000</v>
      </c>
      <c r="D34" s="198"/>
      <c r="E34" s="33"/>
      <c r="F34" s="62" t="s">
        <v>20</v>
      </c>
      <c r="G34" s="63"/>
      <c r="H34" s="134" t="s">
        <v>177</v>
      </c>
      <c r="I34" s="64">
        <f>+IF($I$20=FALSE,0,Tablas!D$33)</f>
        <v>0</v>
      </c>
      <c r="J34" s="64">
        <f>+IF($I$20=FALSE,0,Tablas!E$33)</f>
        <v>0</v>
      </c>
      <c r="K34" s="64">
        <f>+IF($I$20=FALSE,0,Tablas!F$33)</f>
        <v>0</v>
      </c>
      <c r="L34" s="64">
        <f>+IF($I$20=FALSE,0,Tablas!G$33)</f>
        <v>0</v>
      </c>
      <c r="M34" s="63">
        <f>+IF($I$20=FALSE,0,Tablas!H$33)</f>
        <v>0</v>
      </c>
    </row>
    <row r="35" spans="1:13" s="23" customFormat="1" ht="20.100000000000001" customHeight="1" x14ac:dyDescent="0.2">
      <c r="A35" s="193" t="s">
        <v>108</v>
      </c>
      <c r="B35" s="193"/>
      <c r="C35" s="196">
        <v>1</v>
      </c>
      <c r="D35" s="195"/>
      <c r="E35" s="33"/>
      <c r="F35" s="68" t="s">
        <v>19</v>
      </c>
      <c r="G35" s="69"/>
      <c r="H35" s="130" t="s">
        <v>177</v>
      </c>
      <c r="I35" s="70">
        <f>SUM(I31:I34)</f>
        <v>9656</v>
      </c>
      <c r="J35" s="70">
        <f>SUM(J31:J34)</f>
        <v>7120</v>
      </c>
      <c r="K35" s="70">
        <f>SUM(K31:K34)</f>
        <v>5462</v>
      </c>
      <c r="L35" s="70">
        <f>SUM(L31:L34)</f>
        <v>4324</v>
      </c>
      <c r="M35" s="69">
        <f>SUM(M31:M34)</f>
        <v>3252</v>
      </c>
    </row>
    <row r="36" spans="1:13" s="24" customFormat="1" ht="20.100000000000001" customHeight="1" x14ac:dyDescent="0.2">
      <c r="A36" s="194" t="s">
        <v>109</v>
      </c>
      <c r="B36" s="194"/>
      <c r="C36" s="191">
        <v>1</v>
      </c>
      <c r="D36" s="192"/>
      <c r="E36" s="33"/>
      <c r="F36" s="62" t="s">
        <v>21</v>
      </c>
      <c r="G36" s="63"/>
      <c r="H36" s="134" t="s">
        <v>177</v>
      </c>
      <c r="I36" s="64">
        <v>75</v>
      </c>
      <c r="J36" s="64">
        <v>75</v>
      </c>
      <c r="K36" s="64">
        <v>75</v>
      </c>
      <c r="L36" s="64">
        <v>75</v>
      </c>
      <c r="M36" s="63">
        <v>75</v>
      </c>
    </row>
    <row r="37" spans="1:13" s="24" customFormat="1" ht="20.100000000000001" customHeight="1" x14ac:dyDescent="0.2">
      <c r="A37" s="221" t="s">
        <v>165</v>
      </c>
      <c r="B37" s="222"/>
      <c r="C37" s="225" t="s">
        <v>167</v>
      </c>
      <c r="D37" s="226"/>
      <c r="E37" s="33"/>
      <c r="F37" s="62" t="s">
        <v>193</v>
      </c>
      <c r="G37" s="63"/>
      <c r="H37" s="136" t="s">
        <v>177</v>
      </c>
      <c r="I37" s="64">
        <f>I35*0.12 + I36*0.12</f>
        <v>1167.72</v>
      </c>
      <c r="J37" s="64">
        <f t="shared" ref="J37:M37" si="0">J35*0.12 + J36*0.12</f>
        <v>863.4</v>
      </c>
      <c r="K37" s="64">
        <f t="shared" si="0"/>
        <v>664.43999999999994</v>
      </c>
      <c r="L37" s="64">
        <f t="shared" si="0"/>
        <v>527.88</v>
      </c>
      <c r="M37" s="182">
        <f t="shared" si="0"/>
        <v>399.24</v>
      </c>
    </row>
    <row r="38" spans="1:13" s="23" customFormat="1" ht="20.100000000000001" customHeight="1" x14ac:dyDescent="0.2">
      <c r="A38" s="223"/>
      <c r="B38" s="224"/>
      <c r="C38" s="227"/>
      <c r="D38" s="228"/>
      <c r="E38" s="33"/>
      <c r="F38" s="73" t="s">
        <v>18</v>
      </c>
      <c r="G38" s="74"/>
      <c r="H38" s="140" t="s">
        <v>177</v>
      </c>
      <c r="I38" s="75">
        <f>SUM(I35:I37)</f>
        <v>10898.72</v>
      </c>
      <c r="J38" s="75">
        <f t="shared" ref="J38:M38" si="1">SUM(J35:J37)</f>
        <v>8058.4</v>
      </c>
      <c r="K38" s="75">
        <f t="shared" si="1"/>
        <v>6201.44</v>
      </c>
      <c r="L38" s="75">
        <f t="shared" si="1"/>
        <v>4926.88</v>
      </c>
      <c r="M38" s="75">
        <f t="shared" si="1"/>
        <v>3726.24</v>
      </c>
    </row>
    <row r="39" spans="1:13" s="23" customFormat="1" ht="20.100000000000001" customHeight="1" x14ac:dyDescent="0.2">
      <c r="A39" s="223"/>
      <c r="B39" s="224"/>
      <c r="C39" s="229"/>
      <c r="D39" s="230"/>
      <c r="E39" s="71"/>
      <c r="F39" s="76"/>
      <c r="G39" s="76"/>
      <c r="H39" s="135"/>
      <c r="I39" s="76"/>
      <c r="J39" s="76"/>
      <c r="K39" s="76"/>
      <c r="L39" s="76"/>
      <c r="M39" s="55"/>
    </row>
    <row r="40" spans="1:13" s="23" customFormat="1" ht="20.100000000000001" customHeight="1" x14ac:dyDescent="0.2">
      <c r="A40" s="194" t="s">
        <v>110</v>
      </c>
      <c r="B40" s="194"/>
      <c r="C40" s="191" t="s">
        <v>180</v>
      </c>
      <c r="D40" s="192"/>
      <c r="E40" s="71"/>
      <c r="F40" s="56" t="s">
        <v>26</v>
      </c>
      <c r="G40" s="57"/>
      <c r="H40" s="57"/>
      <c r="I40" s="57"/>
      <c r="J40" s="57"/>
      <c r="K40" s="57"/>
      <c r="L40" s="57"/>
      <c r="M40" s="58"/>
    </row>
    <row r="41" spans="1:13" s="23" customFormat="1" ht="20.100000000000001" customHeight="1" x14ac:dyDescent="0.2">
      <c r="A41" s="220" t="s">
        <v>111</v>
      </c>
      <c r="B41" s="220"/>
      <c r="C41" s="190" t="s">
        <v>133</v>
      </c>
      <c r="D41" s="190"/>
      <c r="E41" s="72"/>
      <c r="F41" s="77" t="s">
        <v>15</v>
      </c>
      <c r="G41" s="78"/>
      <c r="H41" s="136" t="s">
        <v>177</v>
      </c>
      <c r="I41" s="64">
        <f>VLOOKUP($M$16,Tablas!$A$39:$H$62,4,TRUE)</f>
        <v>3084.6000000000004</v>
      </c>
      <c r="J41" s="64">
        <f>VLOOKUP($M$16,Tablas!$A$39:$H$62,5,TRUE)</f>
        <v>2291.7200000000003</v>
      </c>
      <c r="K41" s="64">
        <f>VLOOKUP($M$16,Tablas!$A$39:$H$62,6,TRUE)</f>
        <v>1723.0300000000002</v>
      </c>
      <c r="L41" s="64">
        <f>VLOOKUP($M$16,Tablas!$A$39:$H$62,7,TRUE)</f>
        <v>1309.6300000000001</v>
      </c>
      <c r="M41" s="63">
        <f>VLOOKUP($M$16,Tablas!$A$39:$H$62,8,TRUE)</f>
        <v>999.58</v>
      </c>
    </row>
    <row r="42" spans="1:13" s="24" customFormat="1" ht="20.100000000000001" customHeight="1" x14ac:dyDescent="0.2">
      <c r="A42" s="194" t="s">
        <v>134</v>
      </c>
      <c r="B42" s="194"/>
      <c r="C42" s="191" t="s">
        <v>180</v>
      </c>
      <c r="D42" s="192"/>
      <c r="E42" s="72"/>
      <c r="F42" s="62" t="s">
        <v>16</v>
      </c>
      <c r="G42" s="63"/>
      <c r="H42" s="136" t="s">
        <v>177</v>
      </c>
      <c r="I42" s="64">
        <f>IF($J$16=1,0,(VLOOKUP($M$18,Tablas!$A$39:$H$62,4,TRUE)))</f>
        <v>0</v>
      </c>
      <c r="J42" s="64">
        <f>IF($J$16=1,0,(VLOOKUP($M$18,Tablas!$A$39:$H$62,5,TRUE)))</f>
        <v>0</v>
      </c>
      <c r="K42" s="64">
        <f>IF($J$16=1,0,(VLOOKUP($M$18,Tablas!$A$39:$H$62,6,TRUE)))</f>
        <v>0</v>
      </c>
      <c r="L42" s="64">
        <f>IF($J$16=1,0,(VLOOKUP($M$18,Tablas!$A$39:$H$62,7,TRUE)))</f>
        <v>0</v>
      </c>
      <c r="M42" s="63">
        <f>IF($J$16=1,0,(VLOOKUP($M$18,Tablas!$A$39:$H$62,8,TRUE)))</f>
        <v>0</v>
      </c>
    </row>
    <row r="43" spans="1:13" s="23" customFormat="1" ht="20.100000000000001" customHeight="1" x14ac:dyDescent="0.2">
      <c r="A43" s="220" t="s">
        <v>181</v>
      </c>
      <c r="B43" s="220"/>
      <c r="C43" s="190" t="s">
        <v>180</v>
      </c>
      <c r="D43" s="190"/>
      <c r="E43" s="72"/>
      <c r="F43" s="62" t="s">
        <v>17</v>
      </c>
      <c r="G43" s="63"/>
      <c r="H43" s="136" t="s">
        <v>177</v>
      </c>
      <c r="I43" s="64">
        <f>IF($J$18=0,0,(VLOOKUP($J$18,Tablas!$A$63:$H$65,4,TRUE)))</f>
        <v>2033.0800000000002</v>
      </c>
      <c r="J43" s="64">
        <f>IF($J$18=0,0,(VLOOKUP($J$18,Tablas!$A$63:$H$65,5,TRUE)))</f>
        <v>1481.88</v>
      </c>
      <c r="K43" s="64">
        <f>IF($J$18=0,0,(VLOOKUP($J$18,Tablas!$A$63:$H$65,6,TRUE)))</f>
        <v>1171.8300000000002</v>
      </c>
      <c r="L43" s="64">
        <f>IF($J$18=0,0,(VLOOKUP($J$18,Tablas!$A$63:$H$65,7,TRUE)))</f>
        <v>982.09</v>
      </c>
      <c r="M43" s="63">
        <f>IF($J$18=0,0,(VLOOKUP($J$18,Tablas!$A$63:$H$65,8,TRUE)))</f>
        <v>723.98</v>
      </c>
    </row>
    <row r="44" spans="1:13" s="24" customFormat="1" ht="20.100000000000001" customHeight="1" x14ac:dyDescent="0.2">
      <c r="A44" s="194" t="s">
        <v>188</v>
      </c>
      <c r="B44" s="194"/>
      <c r="C44" s="191">
        <v>1</v>
      </c>
      <c r="D44" s="192"/>
      <c r="E44" s="72"/>
      <c r="F44" s="62" t="s">
        <v>20</v>
      </c>
      <c r="G44" s="63"/>
      <c r="H44" s="136" t="s">
        <v>177</v>
      </c>
      <c r="I44" s="64">
        <f>+IF($I$20=FALSE,0,Tablas!D$66)</f>
        <v>0</v>
      </c>
      <c r="J44" s="64">
        <f>+IF($I$20=FALSE,0,Tablas!E$66)</f>
        <v>0</v>
      </c>
      <c r="K44" s="64">
        <f>+IF($I$20=FALSE,0,Tablas!F$66)</f>
        <v>0</v>
      </c>
      <c r="L44" s="64">
        <f>+IF($I$20=FALSE,0,Tablas!G$66)</f>
        <v>0</v>
      </c>
      <c r="M44" s="63">
        <f>+IF($I$20=FALSE,0,Tablas!H$66)</f>
        <v>0</v>
      </c>
    </row>
    <row r="45" spans="1:13" s="23" customFormat="1" ht="20.100000000000001" customHeight="1" x14ac:dyDescent="0.2">
      <c r="A45" s="220" t="s">
        <v>113</v>
      </c>
      <c r="B45" s="220"/>
      <c r="C45" s="190">
        <v>300</v>
      </c>
      <c r="D45" s="190"/>
      <c r="E45" s="33"/>
      <c r="F45" s="68" t="s">
        <v>19</v>
      </c>
      <c r="G45" s="69"/>
      <c r="H45" s="130" t="s">
        <v>177</v>
      </c>
      <c r="I45" s="70">
        <f>SUM(I41:I44)</f>
        <v>5117.68</v>
      </c>
      <c r="J45" s="70">
        <f>SUM(J41:J44)</f>
        <v>3773.6000000000004</v>
      </c>
      <c r="K45" s="70">
        <f>SUM(K41:K44)</f>
        <v>2894.8600000000006</v>
      </c>
      <c r="L45" s="70">
        <f>SUM(L41:L44)</f>
        <v>2291.7200000000003</v>
      </c>
      <c r="M45" s="69">
        <f>SUM(M41:M44)</f>
        <v>1723.56</v>
      </c>
    </row>
    <row r="46" spans="1:13" s="23" customFormat="1" ht="20.100000000000001" customHeight="1" x14ac:dyDescent="0.2">
      <c r="A46" s="194" t="s">
        <v>114</v>
      </c>
      <c r="B46" s="194"/>
      <c r="C46" s="191" t="s">
        <v>202</v>
      </c>
      <c r="D46" s="192"/>
      <c r="E46" s="33"/>
      <c r="F46" s="62" t="s">
        <v>21</v>
      </c>
      <c r="G46" s="63"/>
      <c r="H46" s="134" t="s">
        <v>177</v>
      </c>
      <c r="I46" s="64">
        <v>75</v>
      </c>
      <c r="J46" s="64">
        <v>75</v>
      </c>
      <c r="K46" s="64">
        <v>75</v>
      </c>
      <c r="L46" s="64">
        <v>75</v>
      </c>
      <c r="M46" s="63">
        <v>75</v>
      </c>
    </row>
    <row r="47" spans="1:13" s="23" customFormat="1" ht="20.100000000000001" customHeight="1" x14ac:dyDescent="0.2">
      <c r="A47" s="220" t="s">
        <v>162</v>
      </c>
      <c r="B47" s="220"/>
      <c r="C47" s="190" t="s">
        <v>163</v>
      </c>
      <c r="D47" s="190"/>
      <c r="E47" s="33"/>
      <c r="F47" s="62" t="s">
        <v>193</v>
      </c>
      <c r="G47" s="63"/>
      <c r="H47" s="136" t="s">
        <v>177</v>
      </c>
      <c r="I47" s="64">
        <f>I45*0.12 + I46*0.12</f>
        <v>623.12160000000006</v>
      </c>
      <c r="J47" s="64">
        <f t="shared" ref="J47:M47" si="2">J45*0.12 + J46*0.12</f>
        <v>461.83200000000005</v>
      </c>
      <c r="K47" s="64">
        <f t="shared" si="2"/>
        <v>356.38320000000004</v>
      </c>
      <c r="L47" s="64">
        <f t="shared" si="2"/>
        <v>284.00640000000004</v>
      </c>
      <c r="M47" s="182">
        <f t="shared" si="2"/>
        <v>215.82719999999998</v>
      </c>
    </row>
    <row r="48" spans="1:13" s="23" customFormat="1" ht="20.100000000000001" customHeight="1" x14ac:dyDescent="0.2">
      <c r="A48" s="212" t="s">
        <v>154</v>
      </c>
      <c r="B48" s="213"/>
      <c r="C48" s="216" t="s">
        <v>155</v>
      </c>
      <c r="D48" s="217"/>
      <c r="E48" s="33"/>
      <c r="F48" s="80" t="s">
        <v>24</v>
      </c>
      <c r="G48" s="81"/>
      <c r="H48" s="138" t="s">
        <v>177</v>
      </c>
      <c r="I48" s="82">
        <f>SUM(I45:I47)</f>
        <v>5815.8016000000007</v>
      </c>
      <c r="J48" s="82">
        <f t="shared" ref="J48:M48" si="3">SUM(J45:J47)</f>
        <v>4310.4320000000007</v>
      </c>
      <c r="K48" s="82">
        <f t="shared" si="3"/>
        <v>3326.2432000000008</v>
      </c>
      <c r="L48" s="82">
        <f t="shared" si="3"/>
        <v>2650.7264000000005</v>
      </c>
      <c r="M48" s="82">
        <f t="shared" si="3"/>
        <v>2014.3871999999999</v>
      </c>
    </row>
    <row r="49" spans="1:13" s="23" customFormat="1" ht="20.100000000000001" customHeight="1" x14ac:dyDescent="0.2">
      <c r="A49" s="214"/>
      <c r="B49" s="215"/>
      <c r="C49" s="218"/>
      <c r="D49" s="219"/>
      <c r="E49" s="33"/>
      <c r="F49" s="83" t="s">
        <v>25</v>
      </c>
      <c r="G49" s="84"/>
      <c r="H49" s="139" t="s">
        <v>177</v>
      </c>
      <c r="I49" s="85">
        <f>I45+I47</f>
        <v>5740.8016000000007</v>
      </c>
      <c r="J49" s="85">
        <f t="shared" ref="J49:M49" si="4">J45+J47</f>
        <v>4235.4320000000007</v>
      </c>
      <c r="K49" s="85">
        <f t="shared" si="4"/>
        <v>3251.2432000000008</v>
      </c>
      <c r="L49" s="85">
        <f t="shared" si="4"/>
        <v>2575.7264000000005</v>
      </c>
      <c r="M49" s="85">
        <f t="shared" si="4"/>
        <v>1939.3871999999999</v>
      </c>
    </row>
    <row r="50" spans="1:13" s="23" customFormat="1" ht="20.100000000000001" customHeight="1" x14ac:dyDescent="0.25">
      <c r="A50" s="19"/>
      <c r="B50" s="19"/>
      <c r="C50" s="19"/>
      <c r="D50" s="19"/>
      <c r="E50" s="33"/>
      <c r="F50" s="207" t="s">
        <v>191</v>
      </c>
      <c r="G50" s="208"/>
      <c r="H50" s="208"/>
      <c r="I50" s="208"/>
      <c r="J50" s="208"/>
      <c r="K50" s="208"/>
      <c r="L50" s="208"/>
      <c r="M50" s="209"/>
    </row>
    <row r="51" spans="1:13" s="24" customFormat="1" ht="20.100000000000001" customHeight="1" x14ac:dyDescent="0.2">
      <c r="A51" s="19"/>
      <c r="B51" s="19" t="s">
        <v>4</v>
      </c>
      <c r="C51" s="19"/>
      <c r="D51" s="19"/>
      <c r="E51" s="33"/>
      <c r="F51" s="19"/>
      <c r="G51" s="19"/>
      <c r="H51" s="19"/>
      <c r="I51" s="19"/>
      <c r="J51" s="19"/>
      <c r="K51" s="19"/>
      <c r="L51" s="19"/>
      <c r="M51" s="19"/>
    </row>
    <row r="52" spans="1:13" s="23" customFormat="1" ht="20.100000000000001" customHeight="1" x14ac:dyDescent="0.2">
      <c r="A52" s="19"/>
      <c r="B52" s="19" t="s">
        <v>4</v>
      </c>
      <c r="C52" s="19"/>
      <c r="D52" s="19"/>
      <c r="E52" s="33"/>
      <c r="F52" s="19"/>
      <c r="G52" s="19"/>
      <c r="H52" s="19"/>
      <c r="I52" s="19"/>
      <c r="J52" s="19"/>
      <c r="K52" s="19"/>
      <c r="L52" s="19"/>
      <c r="M52" s="19"/>
    </row>
    <row r="53" spans="1:13" s="23" customFormat="1" ht="20.100000000000001" customHeight="1" x14ac:dyDescent="0.2">
      <c r="A53" s="19"/>
      <c r="B53" s="19"/>
      <c r="C53" s="19"/>
      <c r="D53" s="19"/>
      <c r="E53" s="71"/>
      <c r="F53" s="19"/>
      <c r="G53" s="19"/>
      <c r="H53" s="19"/>
      <c r="I53" s="19"/>
      <c r="J53" s="19"/>
      <c r="K53" s="19"/>
      <c r="L53" s="19"/>
      <c r="M53" s="19"/>
    </row>
    <row r="54" spans="1:13" s="23" customFormat="1" ht="20.100000000000001" customHeight="1" x14ac:dyDescent="0.2">
      <c r="A54" s="19"/>
      <c r="B54" s="19"/>
      <c r="C54" s="19"/>
      <c r="D54" s="19"/>
      <c r="E54" s="71"/>
      <c r="F54" s="19"/>
      <c r="G54" s="19"/>
      <c r="H54" s="19"/>
      <c r="I54" s="19"/>
      <c r="J54" s="19"/>
      <c r="K54" s="19"/>
      <c r="L54" s="19"/>
      <c r="M54" s="19"/>
    </row>
    <row r="55" spans="1:13" s="23" customFormat="1" ht="20.100000000000001" customHeight="1" x14ac:dyDescent="0.2">
      <c r="A55" s="19"/>
      <c r="B55" s="19"/>
      <c r="C55" s="19"/>
      <c r="D55" s="19"/>
      <c r="E55" s="79"/>
      <c r="F55" s="19"/>
      <c r="G55" s="19"/>
      <c r="H55" s="19"/>
      <c r="I55" s="19"/>
      <c r="J55" s="19"/>
      <c r="K55" s="19"/>
      <c r="L55" s="19"/>
      <c r="M55" s="19"/>
    </row>
    <row r="56" spans="1:13" s="24" customFormat="1" ht="20.100000000000001" customHeight="1" x14ac:dyDescent="0.2">
      <c r="A56" s="19"/>
      <c r="B56" s="19"/>
      <c r="C56" s="19"/>
      <c r="D56" s="19"/>
      <c r="E56" s="33"/>
      <c r="F56" s="19"/>
      <c r="G56" s="19"/>
      <c r="H56" s="19"/>
      <c r="I56" s="19"/>
      <c r="J56" s="19"/>
      <c r="K56" s="19"/>
      <c r="L56" s="19"/>
      <c r="M56" s="19"/>
    </row>
    <row r="57" spans="1:13" s="24" customFormat="1" ht="20.100000000000001" customHeight="1" x14ac:dyDescent="0.2">
      <c r="A57" s="19"/>
      <c r="B57" s="19"/>
      <c r="C57" s="19"/>
      <c r="D57" s="19"/>
      <c r="E57" s="36"/>
      <c r="F57" s="19"/>
      <c r="G57" s="19"/>
      <c r="H57" s="19"/>
      <c r="I57" s="19"/>
      <c r="J57" s="19"/>
      <c r="K57" s="19"/>
      <c r="L57" s="19"/>
      <c r="M57" s="19"/>
    </row>
    <row r="58" spans="1:13" ht="20.100000000000001" customHeight="1" x14ac:dyDescent="0.2">
      <c r="E58" s="36"/>
    </row>
  </sheetData>
  <sheetProtection password="9A3C" sheet="1" objects="1" scenarios="1" selectLockedCells="1"/>
  <mergeCells count="70">
    <mergeCell ref="A48:B49"/>
    <mergeCell ref="C48:D49"/>
    <mergeCell ref="A35:B35"/>
    <mergeCell ref="A45:B45"/>
    <mergeCell ref="A41:B41"/>
    <mergeCell ref="A42:B42"/>
    <mergeCell ref="C45:D45"/>
    <mergeCell ref="A44:B44"/>
    <mergeCell ref="A43:B43"/>
    <mergeCell ref="A47:B47"/>
    <mergeCell ref="C47:D47"/>
    <mergeCell ref="A36:B36"/>
    <mergeCell ref="A37:B39"/>
    <mergeCell ref="C37:D39"/>
    <mergeCell ref="A46:B46"/>
    <mergeCell ref="C42:D42"/>
    <mergeCell ref="A20:B20"/>
    <mergeCell ref="A27:B27"/>
    <mergeCell ref="C22:D22"/>
    <mergeCell ref="A23:B24"/>
    <mergeCell ref="A25:B25"/>
    <mergeCell ref="C26:D26"/>
    <mergeCell ref="A26:B26"/>
    <mergeCell ref="C27:D27"/>
    <mergeCell ref="F50:M50"/>
    <mergeCell ref="C13:D13"/>
    <mergeCell ref="C14:D14"/>
    <mergeCell ref="C15:D15"/>
    <mergeCell ref="C16:D16"/>
    <mergeCell ref="C17:D17"/>
    <mergeCell ref="C24:D24"/>
    <mergeCell ref="C31:D31"/>
    <mergeCell ref="C46:D46"/>
    <mergeCell ref="C18:D19"/>
    <mergeCell ref="C30:D30"/>
    <mergeCell ref="C25:D25"/>
    <mergeCell ref="C20:D20"/>
    <mergeCell ref="C21:D21"/>
    <mergeCell ref="C23:D23"/>
    <mergeCell ref="C29:D29"/>
    <mergeCell ref="A10:M10"/>
    <mergeCell ref="H12:M12"/>
    <mergeCell ref="H14:M14"/>
    <mergeCell ref="F18:G18"/>
    <mergeCell ref="F17:G17"/>
    <mergeCell ref="A12:D12"/>
    <mergeCell ref="A13:B13"/>
    <mergeCell ref="A18:B19"/>
    <mergeCell ref="A14:B14"/>
    <mergeCell ref="A15:B15"/>
    <mergeCell ref="A16:B16"/>
    <mergeCell ref="A17:B17"/>
    <mergeCell ref="A28:B28"/>
    <mergeCell ref="A21:B22"/>
    <mergeCell ref="A29:B29"/>
    <mergeCell ref="C32:D32"/>
    <mergeCell ref="C28:D28"/>
    <mergeCell ref="A30:B30"/>
    <mergeCell ref="A31:B32"/>
    <mergeCell ref="C43:D43"/>
    <mergeCell ref="C40:D40"/>
    <mergeCell ref="C44:D44"/>
    <mergeCell ref="C41:D41"/>
    <mergeCell ref="A33:B33"/>
    <mergeCell ref="A34:B34"/>
    <mergeCell ref="C33:D33"/>
    <mergeCell ref="A40:B40"/>
    <mergeCell ref="C35:D35"/>
    <mergeCell ref="C34:D34"/>
    <mergeCell ref="C36:D36"/>
  </mergeCells>
  <phoneticPr fontId="5" type="noConversion"/>
  <conditionalFormatting sqref="J16">
    <cfRule type="cellIs" dxfId="31" priority="1" stopIfTrue="1" operator="greaterThan">
      <formula>2</formula>
    </cfRule>
    <cfRule type="cellIs" dxfId="30" priority="2" stopIfTrue="1" operator="lessThan">
      <formula>1</formula>
    </cfRule>
  </conditionalFormatting>
  <conditionalFormatting sqref="M16 M18">
    <cfRule type="cellIs" dxfId="29" priority="3" stopIfTrue="1" operator="greaterThan">
      <formula>73</formula>
    </cfRule>
    <cfRule type="cellIs" dxfId="28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" r:id="rId4" name="Check Box 37">
              <controlPr locked="0" defaultSize="0" autoFill="0" autoLine="0" autoPict="0">
                <anchor moveWithCells="1">
                  <from>
                    <xdr:col>9</xdr:col>
                    <xdr:colOff>800100</xdr:colOff>
                    <xdr:row>19</xdr:row>
                    <xdr:rowOff>66675</xdr:rowOff>
                  </from>
                  <to>
                    <xdr:col>9</xdr:col>
                    <xdr:colOff>1076325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pageSetUpPr fitToPage="1"/>
  </sheetPr>
  <dimension ref="A1:M59"/>
  <sheetViews>
    <sheetView showGridLines="0" topLeftCell="A10" zoomScale="70" zoomScaleNormal="70" workbookViewId="0">
      <selection activeCell="J20" sqref="J20"/>
    </sheetView>
  </sheetViews>
  <sheetFormatPr baseColWidth="10" defaultColWidth="8.85546875" defaultRowHeight="12.75" x14ac:dyDescent="0.2"/>
  <cols>
    <col min="1" max="1" width="33.7109375" style="1" customWidth="1"/>
    <col min="2" max="2" width="19.140625" style="1" customWidth="1"/>
    <col min="3" max="3" width="22.7109375" style="1" customWidth="1"/>
    <col min="4" max="4" width="28.5703125" style="1" customWidth="1"/>
    <col min="5" max="5" width="1.42578125" style="8" customWidth="1"/>
    <col min="6" max="6" width="16.7109375" style="1" customWidth="1"/>
    <col min="7" max="7" width="17.42578125" style="1" customWidth="1"/>
    <col min="8" max="8" width="8.425781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239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3.25" x14ac:dyDescent="0.35">
      <c r="A12" s="206" t="s">
        <v>238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195" t="s">
        <v>203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204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205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206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4" customHeight="1" x14ac:dyDescent="0.2">
      <c r="A19" s="194"/>
      <c r="B19" s="194"/>
      <c r="C19" s="211"/>
      <c r="D19" s="211"/>
      <c r="E19" s="36"/>
      <c r="F19" s="35"/>
      <c r="G19" s="37"/>
      <c r="H19" s="38"/>
      <c r="I19" s="35"/>
      <c r="J19" s="35" t="s">
        <v>4</v>
      </c>
      <c r="K19" s="35" t="s">
        <v>4</v>
      </c>
      <c r="L19" s="35" t="s">
        <v>4</v>
      </c>
      <c r="M19" s="35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88"/>
      <c r="G20" s="88"/>
      <c r="H20" s="88"/>
      <c r="I20" s="87" t="b">
        <v>0</v>
      </c>
      <c r="J20" s="88"/>
      <c r="K20" s="167" t="s">
        <v>83</v>
      </c>
      <c r="L20" s="88"/>
      <c r="M20" s="88"/>
    </row>
    <row r="21" spans="1:13" s="6" customFormat="1" ht="20.100000000000001" customHeight="1" x14ac:dyDescent="0.2">
      <c r="A21" s="194" t="s">
        <v>98</v>
      </c>
      <c r="B21" s="194"/>
      <c r="C21" s="243" t="s">
        <v>178</v>
      </c>
      <c r="D21" s="244"/>
      <c r="E21" s="33"/>
      <c r="F21" s="88"/>
      <c r="G21" s="88"/>
      <c r="H21" s="88"/>
      <c r="I21" s="88"/>
      <c r="J21" s="88"/>
      <c r="K21" s="167"/>
      <c r="L21" s="88"/>
      <c r="M21" s="87"/>
    </row>
    <row r="22" spans="1:13" s="7" customFormat="1" ht="20.100000000000001" customHeight="1" x14ac:dyDescent="0.2">
      <c r="A22" s="194"/>
      <c r="B22" s="194"/>
      <c r="C22" s="232" t="s">
        <v>4</v>
      </c>
      <c r="D22" s="233"/>
      <c r="E22" s="33"/>
      <c r="F22" s="106"/>
      <c r="G22" s="106"/>
      <c r="H22" s="106"/>
      <c r="I22" s="169" t="b">
        <v>0</v>
      </c>
      <c r="J22" s="87" t="b">
        <v>0</v>
      </c>
      <c r="K22" s="168" t="s">
        <v>84</v>
      </c>
      <c r="L22" s="106"/>
      <c r="M22" s="10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106"/>
      <c r="G23" s="106"/>
      <c r="H23" s="106"/>
      <c r="I23" s="106"/>
      <c r="J23" s="87"/>
      <c r="K23" s="168"/>
      <c r="L23" s="106"/>
      <c r="M23" s="106"/>
    </row>
    <row r="24" spans="1:13" s="7" customFormat="1" ht="20.100000000000001" customHeight="1" x14ac:dyDescent="0.2">
      <c r="A24" s="193"/>
      <c r="B24" s="193"/>
      <c r="C24" s="231" t="s">
        <v>4</v>
      </c>
      <c r="D24" s="231"/>
      <c r="E24" s="33"/>
      <c r="F24" s="106"/>
      <c r="G24" s="170" t="s">
        <v>4</v>
      </c>
      <c r="H24" s="106"/>
      <c r="I24" s="106"/>
      <c r="J24" s="106"/>
      <c r="K24" s="106"/>
      <c r="L24" s="106"/>
      <c r="M24" s="106"/>
    </row>
    <row r="25" spans="1:13" s="3" customFormat="1" ht="20.100000000000001" customHeight="1" x14ac:dyDescent="0.25">
      <c r="A25" s="194" t="s">
        <v>100</v>
      </c>
      <c r="B25" s="194"/>
      <c r="C25" s="198" t="s">
        <v>160</v>
      </c>
      <c r="D25" s="198"/>
      <c r="E25" s="33"/>
      <c r="F25" s="43" t="s">
        <v>91</v>
      </c>
      <c r="G25" s="44"/>
      <c r="H25" s="137" t="s">
        <v>85</v>
      </c>
      <c r="I25" s="45" t="s">
        <v>86</v>
      </c>
      <c r="J25" s="45" t="s">
        <v>87</v>
      </c>
      <c r="K25" s="45" t="s">
        <v>88</v>
      </c>
      <c r="L25" s="45" t="s">
        <v>89</v>
      </c>
      <c r="M25" s="46" t="s">
        <v>90</v>
      </c>
    </row>
    <row r="26" spans="1:13" s="4" customFormat="1" ht="20.100000000000001" customHeight="1" x14ac:dyDescent="0.2">
      <c r="A26" s="193" t="s">
        <v>101</v>
      </c>
      <c r="B26" s="193"/>
      <c r="C26" s="195" t="s">
        <v>143</v>
      </c>
      <c r="D26" s="195"/>
      <c r="E26" s="33"/>
      <c r="F26" s="47" t="s">
        <v>176</v>
      </c>
      <c r="G26" s="48"/>
      <c r="H26" s="129" t="s">
        <v>177</v>
      </c>
      <c r="I26" s="48">
        <v>1000</v>
      </c>
      <c r="J26" s="48">
        <v>2000</v>
      </c>
      <c r="K26" s="48">
        <v>5000</v>
      </c>
      <c r="L26" s="48">
        <v>10000</v>
      </c>
      <c r="M26" s="49">
        <v>20000</v>
      </c>
    </row>
    <row r="27" spans="1:13" s="4" customFormat="1" ht="20.100000000000001" customHeight="1" x14ac:dyDescent="0.2">
      <c r="A27" s="194" t="s">
        <v>102</v>
      </c>
      <c r="B27" s="194"/>
      <c r="C27" s="198" t="s">
        <v>131</v>
      </c>
      <c r="D27" s="198"/>
      <c r="E27" s="33"/>
      <c r="F27" s="50" t="s">
        <v>175</v>
      </c>
      <c r="G27" s="51"/>
      <c r="H27" s="131" t="s">
        <v>177</v>
      </c>
      <c r="I27" s="52">
        <v>2000</v>
      </c>
      <c r="J27" s="52">
        <v>3000</v>
      </c>
      <c r="K27" s="52">
        <v>5000</v>
      </c>
      <c r="L27" s="52">
        <v>10000</v>
      </c>
      <c r="M27" s="53">
        <v>20000</v>
      </c>
    </row>
    <row r="28" spans="1:13" s="4" customFormat="1" ht="20.100000000000001" customHeight="1" x14ac:dyDescent="0.2">
      <c r="A28" s="193" t="s">
        <v>103</v>
      </c>
      <c r="B28" s="193"/>
      <c r="C28" s="245" t="s">
        <v>131</v>
      </c>
      <c r="D28" s="246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198" t="s">
        <v>177</v>
      </c>
      <c r="D29" s="198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33.75" customHeight="1" x14ac:dyDescent="0.2">
      <c r="A30" s="193" t="s">
        <v>105</v>
      </c>
      <c r="B30" s="193"/>
      <c r="C30" s="196" t="s">
        <v>174</v>
      </c>
      <c r="D30" s="196"/>
      <c r="E30" s="33"/>
      <c r="F30" s="56" t="s">
        <v>27</v>
      </c>
      <c r="G30" s="57"/>
      <c r="H30" s="141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207</v>
      </c>
      <c r="D31" s="210"/>
      <c r="E31" s="33"/>
      <c r="F31" s="25" t="s">
        <v>15</v>
      </c>
      <c r="G31" s="59"/>
      <c r="H31" s="130" t="s">
        <v>177</v>
      </c>
      <c r="I31" s="60">
        <f>VLOOKUP($M$16,Tablas!$A$140:$H$163,4,TRUE)</f>
        <v>3120</v>
      </c>
      <c r="J31" s="60">
        <f>VLOOKUP($M$16,Tablas!$A$140:$H$163,5,TRUE)</f>
        <v>2608</v>
      </c>
      <c r="K31" s="60">
        <f>VLOOKUP($M$16,Tablas!$A$140:$H$163,6,TRUE)</f>
        <v>1950</v>
      </c>
      <c r="L31" s="60">
        <f>VLOOKUP($M$16,Tablas!$A$140:$H$163,7,TRUE)</f>
        <v>1682</v>
      </c>
      <c r="M31" s="59">
        <f>VLOOKUP($M$16,Tablas!$A$140:$H$163,8,TRUE)</f>
        <v>1267</v>
      </c>
    </row>
    <row r="32" spans="1:13" s="4" customFormat="1" ht="20.100000000000001" customHeight="1" x14ac:dyDescent="0.2">
      <c r="A32" s="194"/>
      <c r="B32" s="194"/>
      <c r="C32" s="199" t="s">
        <v>208</v>
      </c>
      <c r="D32" s="199"/>
      <c r="E32" s="61"/>
      <c r="F32" s="62" t="s">
        <v>16</v>
      </c>
      <c r="G32" s="63"/>
      <c r="H32" s="134" t="s">
        <v>177</v>
      </c>
      <c r="I32" s="64">
        <f>IF($J$16=1,0,(VLOOKUP($M$18,Tablas!$A$140:$H$163,4,TRUE)))</f>
        <v>0</v>
      </c>
      <c r="J32" s="64">
        <f>IF($J$16=1,0,(VLOOKUP($M$18,Tablas!$A$140:$H$163,5,TRUE)))</f>
        <v>0</v>
      </c>
      <c r="K32" s="64">
        <f>IF($J$16=1,0,(VLOOKUP($M$18,Tablas!$A$140:$H$163,6,TRUE)))</f>
        <v>0</v>
      </c>
      <c r="L32" s="64">
        <f>IF($J$16=1,0,(VLOOKUP($M$18,Tablas!$A$140:$H$163,7,TRUE)))</f>
        <v>0</v>
      </c>
      <c r="M32" s="63">
        <f>IF($J$16=1,0,(VLOOKUP($M$18,Tablas!$A$140:$H$163,8,TRUE)))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209</v>
      </c>
      <c r="D33" s="195"/>
      <c r="E33" s="33"/>
      <c r="F33" s="65" t="s">
        <v>17</v>
      </c>
      <c r="G33" s="66"/>
      <c r="H33" s="134" t="s">
        <v>177</v>
      </c>
      <c r="I33" s="67">
        <f>IF($J$18=0,0,(VLOOKUP($J$18,Tablas!$A$164:$H$166,4,TRUE)))</f>
        <v>2681</v>
      </c>
      <c r="J33" s="67">
        <f>IF($J$18=0,0,(VLOOKUP($J$18,Tablas!$A$164:$H$166,5,TRUE)))</f>
        <v>1365</v>
      </c>
      <c r="K33" s="67">
        <f>IF($J$18=0,0,(VLOOKUP($J$18,Tablas!$A$164:$H$166,6,TRUE)))</f>
        <v>1243</v>
      </c>
      <c r="L33" s="67">
        <f>IF($J$18=0,0,(VLOOKUP($J$18,Tablas!$A$164:$H$166,7,TRUE)))</f>
        <v>1072</v>
      </c>
      <c r="M33" s="66">
        <f>IF($J$18=0,0,(VLOOKUP($J$18,Tablas!$A$164:$H$166,8,TRUE)))</f>
        <v>804</v>
      </c>
    </row>
    <row r="34" spans="1:13" s="4" customFormat="1" ht="20.100000000000001" customHeight="1" x14ac:dyDescent="0.2">
      <c r="A34" s="194" t="s">
        <v>107</v>
      </c>
      <c r="B34" s="194"/>
      <c r="C34" s="197">
        <v>50000</v>
      </c>
      <c r="D34" s="198"/>
      <c r="E34" s="33"/>
      <c r="F34" s="62" t="s">
        <v>20</v>
      </c>
      <c r="G34" s="63"/>
      <c r="H34" s="134" t="s">
        <v>177</v>
      </c>
      <c r="I34" s="64">
        <f>+IF($I$20=FALSE,0,Tablas!D$167)</f>
        <v>0</v>
      </c>
      <c r="J34" s="64">
        <f>+IF($I$20=FALSE,0,Tablas!E$167)</f>
        <v>0</v>
      </c>
      <c r="K34" s="64">
        <f>+IF($I$20=FALSE,0,Tablas!F$167)</f>
        <v>0</v>
      </c>
      <c r="L34" s="64">
        <f>+IF($I$20=FALSE,0,Tablas!G$167)</f>
        <v>0</v>
      </c>
      <c r="M34" s="63">
        <f>+IF($I$20=FALSE,0,Tablas!H$167)</f>
        <v>0</v>
      </c>
    </row>
    <row r="35" spans="1:13" s="4" customFormat="1" ht="20.100000000000001" customHeight="1" x14ac:dyDescent="0.2">
      <c r="A35" s="193" t="s">
        <v>108</v>
      </c>
      <c r="B35" s="193"/>
      <c r="C35" s="196">
        <v>1</v>
      </c>
      <c r="D35" s="195"/>
      <c r="E35" s="33"/>
      <c r="F35" s="62" t="s">
        <v>23</v>
      </c>
      <c r="G35" s="63"/>
      <c r="H35" s="134" t="s">
        <v>177</v>
      </c>
      <c r="I35" s="64">
        <f>IF($I$22=FALSE,0,Tablas!D$341)</f>
        <v>0</v>
      </c>
      <c r="J35" s="64">
        <f>IF($I$22=FALSE,0,Tablas!E$341)</f>
        <v>0</v>
      </c>
      <c r="K35" s="64">
        <f>IF($I$22=FALSE,0,Tablas!F$341)</f>
        <v>0</v>
      </c>
      <c r="L35" s="64">
        <f>IF($I$22=FALSE,0,Tablas!G$341)</f>
        <v>0</v>
      </c>
      <c r="M35" s="63">
        <f>IF($I$22=FALSE,0,Tablas!H$341)</f>
        <v>0</v>
      </c>
    </row>
    <row r="36" spans="1:13" s="4" customFormat="1" ht="20.100000000000001" customHeight="1" x14ac:dyDescent="0.2">
      <c r="A36" s="238" t="s">
        <v>109</v>
      </c>
      <c r="B36" s="239"/>
      <c r="C36" s="240">
        <v>1</v>
      </c>
      <c r="D36" s="241"/>
      <c r="E36" s="33"/>
      <c r="F36" s="68" t="s">
        <v>19</v>
      </c>
      <c r="G36" s="69"/>
      <c r="H36" s="130" t="s">
        <v>177</v>
      </c>
      <c r="I36" s="70">
        <f>SUM(I31:I35)</f>
        <v>5801</v>
      </c>
      <c r="J36" s="70">
        <f t="shared" ref="J36:M36" si="0">SUM(J31:J35)</f>
        <v>3973</v>
      </c>
      <c r="K36" s="70">
        <f t="shared" si="0"/>
        <v>3193</v>
      </c>
      <c r="L36" s="70">
        <f t="shared" si="0"/>
        <v>2754</v>
      </c>
      <c r="M36" s="171">
        <f t="shared" si="0"/>
        <v>2071</v>
      </c>
    </row>
    <row r="37" spans="1:13" s="5" customFormat="1" ht="20.100000000000001" customHeight="1" x14ac:dyDescent="0.2">
      <c r="A37" s="220" t="s">
        <v>165</v>
      </c>
      <c r="B37" s="220"/>
      <c r="C37" s="242" t="s">
        <v>131</v>
      </c>
      <c r="D37" s="190"/>
      <c r="E37" s="33"/>
      <c r="F37" s="62" t="s">
        <v>21</v>
      </c>
      <c r="G37" s="63"/>
      <c r="H37" s="134" t="s">
        <v>177</v>
      </c>
      <c r="I37" s="64">
        <v>75</v>
      </c>
      <c r="J37" s="64">
        <v>75</v>
      </c>
      <c r="K37" s="64">
        <v>75</v>
      </c>
      <c r="L37" s="64">
        <v>75</v>
      </c>
      <c r="M37" s="63">
        <v>75</v>
      </c>
    </row>
    <row r="38" spans="1:13" s="5" customFormat="1" ht="20.100000000000001" customHeight="1" x14ac:dyDescent="0.2">
      <c r="A38" s="238" t="s">
        <v>110</v>
      </c>
      <c r="B38" s="239"/>
      <c r="C38" s="240" t="s">
        <v>210</v>
      </c>
      <c r="D38" s="241"/>
      <c r="E38" s="33"/>
      <c r="F38" s="62" t="s">
        <v>193</v>
      </c>
      <c r="G38" s="63"/>
      <c r="H38" s="136" t="s">
        <v>177</v>
      </c>
      <c r="I38" s="64">
        <f>I36*0.12 + I37*0.12</f>
        <v>705.12</v>
      </c>
      <c r="J38" s="64">
        <f t="shared" ref="J38:M38" si="1">J36*0.12 + J37*0.12</f>
        <v>485.76</v>
      </c>
      <c r="K38" s="64">
        <f t="shared" si="1"/>
        <v>392.15999999999997</v>
      </c>
      <c r="L38" s="64">
        <f t="shared" si="1"/>
        <v>339.47999999999996</v>
      </c>
      <c r="M38" s="182">
        <f t="shared" si="1"/>
        <v>257.52</v>
      </c>
    </row>
    <row r="39" spans="1:13" s="4" customFormat="1" ht="20.100000000000001" customHeight="1" x14ac:dyDescent="0.2">
      <c r="A39" s="220" t="s">
        <v>111</v>
      </c>
      <c r="B39" s="220"/>
      <c r="C39" s="190" t="s">
        <v>177</v>
      </c>
      <c r="D39" s="190"/>
      <c r="E39" s="33"/>
      <c r="F39" s="73" t="s">
        <v>18</v>
      </c>
      <c r="G39" s="74"/>
      <c r="H39" s="140" t="s">
        <v>177</v>
      </c>
      <c r="I39" s="75">
        <f>SUM(I36:I38)</f>
        <v>6581.12</v>
      </c>
      <c r="J39" s="75">
        <f t="shared" ref="J39:M39" si="2">SUM(J36:J38)</f>
        <v>4533.76</v>
      </c>
      <c r="K39" s="75">
        <f t="shared" si="2"/>
        <v>3660.16</v>
      </c>
      <c r="L39" s="75">
        <f t="shared" si="2"/>
        <v>3168.48</v>
      </c>
      <c r="M39" s="173">
        <f t="shared" si="2"/>
        <v>2403.52</v>
      </c>
    </row>
    <row r="40" spans="1:13" s="4" customFormat="1" ht="20.100000000000001" customHeight="1" x14ac:dyDescent="0.2">
      <c r="A40" s="238" t="s">
        <v>134</v>
      </c>
      <c r="B40" s="239"/>
      <c r="C40" s="240" t="s">
        <v>211</v>
      </c>
      <c r="D40" s="241"/>
      <c r="E40" s="71"/>
      <c r="F40" s="76"/>
      <c r="G40" s="76"/>
      <c r="H40" s="135"/>
      <c r="I40" s="76"/>
      <c r="J40" s="76"/>
      <c r="K40" s="76"/>
      <c r="L40" s="76"/>
      <c r="M40" s="55"/>
    </row>
    <row r="41" spans="1:13" s="4" customFormat="1" ht="20.100000000000001" customHeight="1" x14ac:dyDescent="0.2">
      <c r="A41" s="220" t="s">
        <v>181</v>
      </c>
      <c r="B41" s="220"/>
      <c r="C41" s="190" t="s">
        <v>180</v>
      </c>
      <c r="D41" s="190"/>
      <c r="E41" s="71"/>
      <c r="F41" s="56" t="s">
        <v>26</v>
      </c>
      <c r="G41" s="57"/>
      <c r="H41" s="142"/>
      <c r="I41" s="57"/>
      <c r="J41" s="57"/>
      <c r="K41" s="57"/>
      <c r="L41" s="57"/>
      <c r="M41" s="58"/>
    </row>
    <row r="42" spans="1:13" s="4" customFormat="1" ht="20.100000000000001" customHeight="1" x14ac:dyDescent="0.2">
      <c r="A42" s="238" t="s">
        <v>188</v>
      </c>
      <c r="B42" s="239"/>
      <c r="C42" s="240">
        <v>1</v>
      </c>
      <c r="D42" s="241"/>
      <c r="E42" s="72"/>
      <c r="F42" s="77" t="s">
        <v>15</v>
      </c>
      <c r="G42" s="78"/>
      <c r="H42" s="136" t="s">
        <v>177</v>
      </c>
      <c r="I42" s="64">
        <f>VLOOKUP($M$16,Tablas!$A$173:$H$196,4,TRUE)</f>
        <v>1653.6000000000001</v>
      </c>
      <c r="J42" s="64">
        <f>VLOOKUP($M$16,Tablas!$A$173:$H$196,5,TRUE)</f>
        <v>1382.24</v>
      </c>
      <c r="K42" s="64">
        <f>VLOOKUP($M$16,Tablas!$A$173:$H$196,6,TRUE)</f>
        <v>1033.5</v>
      </c>
      <c r="L42" s="64">
        <f>VLOOKUP($M$16,Tablas!$A$173:$H$196,7,TRUE)</f>
        <v>891.46</v>
      </c>
      <c r="M42" s="63">
        <f>VLOOKUP($M$16,Tablas!$A$173:$H$196,8,TRUE)</f>
        <v>671.51</v>
      </c>
    </row>
    <row r="43" spans="1:13" s="5" customFormat="1" ht="20.100000000000001" customHeight="1" x14ac:dyDescent="0.2">
      <c r="A43" s="220" t="s">
        <v>113</v>
      </c>
      <c r="B43" s="220"/>
      <c r="C43" s="190" t="s">
        <v>177</v>
      </c>
      <c r="D43" s="190"/>
      <c r="E43" s="72"/>
      <c r="F43" s="62" t="s">
        <v>16</v>
      </c>
      <c r="G43" s="63"/>
      <c r="H43" s="136" t="s">
        <v>177</v>
      </c>
      <c r="I43" s="64">
        <f>IF($J$16=1,0,(VLOOKUP($M$18,Tablas!$A$173:$H$196,4,TRUE)))</f>
        <v>0</v>
      </c>
      <c r="J43" s="64">
        <f>IF($J$16=1,0,(VLOOKUP($M$18,Tablas!$A$173:$H$196,5,TRUE)))</f>
        <v>0</v>
      </c>
      <c r="K43" s="64">
        <f>IF($J$16=1,0,(VLOOKUP($M$18,Tablas!$A$173:$H$196,6,TRUE)))</f>
        <v>0</v>
      </c>
      <c r="L43" s="64">
        <f>IF($J$16=1,0,(VLOOKUP($M$18,Tablas!$A$173:$H$196,7,TRUE)))</f>
        <v>0</v>
      </c>
      <c r="M43" s="63">
        <f>IF($J$16=1,0,(VLOOKUP($M$18,Tablas!$A$173:$H$196,8,TRUE)))</f>
        <v>0</v>
      </c>
    </row>
    <row r="44" spans="1:13" s="4" customFormat="1" ht="20.100000000000001" customHeight="1" x14ac:dyDescent="0.2">
      <c r="A44" s="238" t="s">
        <v>114</v>
      </c>
      <c r="B44" s="239"/>
      <c r="C44" s="240" t="s">
        <v>177</v>
      </c>
      <c r="D44" s="241"/>
      <c r="E44" s="72"/>
      <c r="F44" s="62" t="s">
        <v>17</v>
      </c>
      <c r="G44" s="63"/>
      <c r="H44" s="136" t="s">
        <v>177</v>
      </c>
      <c r="I44" s="64">
        <f>IF($J$18=0,0,(VLOOKUP($J$18,Tablas!$A$197:$H$199,4,TRUE)))</f>
        <v>1420.93</v>
      </c>
      <c r="J44" s="64">
        <f>IF($J$18=0,0,(VLOOKUP($J$18,Tablas!$A$197:$H$199,5,TRUE)))</f>
        <v>723.45</v>
      </c>
      <c r="K44" s="64">
        <f>IF($J$18=0,0,(VLOOKUP($J$18,Tablas!$A$197:$H$199,6,TRUE)))</f>
        <v>658.79000000000008</v>
      </c>
      <c r="L44" s="64">
        <f>IF($J$18=0,0,(VLOOKUP($J$18,Tablas!$A$197:$H$199,7,TRUE)))</f>
        <v>568.16000000000008</v>
      </c>
      <c r="M44" s="63">
        <f>IF($J$18=0,0,(VLOOKUP($J$18,Tablas!$A$197:$H$199,8,TRUE)))</f>
        <v>426.12</v>
      </c>
    </row>
    <row r="45" spans="1:13" s="5" customFormat="1" ht="20.100000000000001" customHeight="1" x14ac:dyDescent="0.2">
      <c r="A45" s="220" t="s">
        <v>162</v>
      </c>
      <c r="B45" s="220"/>
      <c r="C45" s="190" t="s">
        <v>163</v>
      </c>
      <c r="D45" s="190"/>
      <c r="E45" s="72"/>
      <c r="F45" s="62" t="s">
        <v>20</v>
      </c>
      <c r="G45" s="63"/>
      <c r="H45" s="136" t="s">
        <v>177</v>
      </c>
      <c r="I45" s="64">
        <f>+IF($I$20=FALSE,0,Tablas!D$200)</f>
        <v>0</v>
      </c>
      <c r="J45" s="64">
        <f>+IF($I$20=FALSE,0,Tablas!E$200)</f>
        <v>0</v>
      </c>
      <c r="K45" s="64">
        <f>+IF($I$20=FALSE,0,Tablas!F$200)</f>
        <v>0</v>
      </c>
      <c r="L45" s="64">
        <f>+IF($I$20=FALSE,0,Tablas!G$200)</f>
        <v>0</v>
      </c>
      <c r="M45" s="63">
        <f>+IF($I$20=FALSE,0,Tablas!H$200)</f>
        <v>0</v>
      </c>
    </row>
    <row r="46" spans="1:13" s="4" customFormat="1" ht="20.100000000000001" customHeight="1" x14ac:dyDescent="0.2">
      <c r="A46" s="212" t="s">
        <v>154</v>
      </c>
      <c r="B46" s="213"/>
      <c r="C46" s="234" t="s">
        <v>156</v>
      </c>
      <c r="D46" s="235"/>
      <c r="E46" s="33"/>
      <c r="F46" s="62" t="s">
        <v>23</v>
      </c>
      <c r="G46" s="63"/>
      <c r="H46" s="134" t="s">
        <v>177</v>
      </c>
      <c r="I46" s="64">
        <f>IF($I$22=FALSE,0,Tablas!D$413)</f>
        <v>0</v>
      </c>
      <c r="J46" s="64">
        <f>IF($I$22=FALSE,0,Tablas!E$413)</f>
        <v>0</v>
      </c>
      <c r="K46" s="64">
        <f>IF($I$22=FALSE,0,Tablas!F$413)</f>
        <v>0</v>
      </c>
      <c r="L46" s="64">
        <f>IF($I$22=FALSE,0,Tablas!G$413)</f>
        <v>0</v>
      </c>
      <c r="M46" s="63">
        <f>IF($I$22=FALSE,0,Tablas!H$413)</f>
        <v>0</v>
      </c>
    </row>
    <row r="47" spans="1:13" s="4" customFormat="1" ht="20.100000000000001" customHeight="1" x14ac:dyDescent="0.2">
      <c r="A47" s="214"/>
      <c r="B47" s="215"/>
      <c r="C47" s="236"/>
      <c r="D47" s="237"/>
      <c r="E47" s="33"/>
      <c r="F47" s="68" t="s">
        <v>19</v>
      </c>
      <c r="G47" s="69"/>
      <c r="H47" s="130" t="s">
        <v>177</v>
      </c>
      <c r="I47" s="70">
        <f>SUM(I42:I46)</f>
        <v>3074.53</v>
      </c>
      <c r="J47" s="70">
        <f t="shared" ref="J47:M47" si="3">SUM(J42:J46)</f>
        <v>2105.69</v>
      </c>
      <c r="K47" s="70">
        <f t="shared" si="3"/>
        <v>1692.29</v>
      </c>
      <c r="L47" s="70">
        <f t="shared" si="3"/>
        <v>1459.6200000000001</v>
      </c>
      <c r="M47" s="171">
        <f t="shared" si="3"/>
        <v>1097.6300000000001</v>
      </c>
    </row>
    <row r="48" spans="1:13" s="4" customFormat="1" ht="20.100000000000001" customHeight="1" x14ac:dyDescent="0.2">
      <c r="A48" s="1"/>
      <c r="B48" s="1"/>
      <c r="C48" s="1"/>
      <c r="D48" s="1"/>
      <c r="E48" s="33"/>
      <c r="F48" s="62" t="s">
        <v>21</v>
      </c>
      <c r="G48" s="63"/>
      <c r="H48" s="134" t="s">
        <v>177</v>
      </c>
      <c r="I48" s="64">
        <v>75</v>
      </c>
      <c r="J48" s="64">
        <v>75</v>
      </c>
      <c r="K48" s="64">
        <v>75</v>
      </c>
      <c r="L48" s="64">
        <v>75</v>
      </c>
      <c r="M48" s="63">
        <v>75</v>
      </c>
    </row>
    <row r="49" spans="1:13" s="4" customFormat="1" ht="20.100000000000001" customHeight="1" x14ac:dyDescent="0.2">
      <c r="A49" s="1"/>
      <c r="B49" s="1" t="s">
        <v>4</v>
      </c>
      <c r="C49" s="1"/>
      <c r="D49" s="1"/>
      <c r="E49" s="33"/>
      <c r="F49" s="62" t="s">
        <v>193</v>
      </c>
      <c r="G49" s="63"/>
      <c r="H49" s="136" t="s">
        <v>177</v>
      </c>
      <c r="I49" s="64">
        <f>I47*0.12 + I48*0.12</f>
        <v>377.9436</v>
      </c>
      <c r="J49" s="64">
        <f t="shared" ref="J49:M49" si="4">J47*0.12 + J48*0.12</f>
        <v>261.68279999999999</v>
      </c>
      <c r="K49" s="64">
        <f t="shared" si="4"/>
        <v>212.07479999999998</v>
      </c>
      <c r="L49" s="64">
        <f t="shared" si="4"/>
        <v>184.15440000000001</v>
      </c>
      <c r="M49" s="182">
        <f t="shared" si="4"/>
        <v>140.71559999999999</v>
      </c>
    </row>
    <row r="50" spans="1:13" s="4" customFormat="1" ht="20.100000000000001" customHeight="1" x14ac:dyDescent="0.2">
      <c r="A50" s="1"/>
      <c r="B50" s="1" t="s">
        <v>4</v>
      </c>
      <c r="C50" s="1"/>
      <c r="D50" s="1"/>
      <c r="E50" s="33"/>
      <c r="F50" s="80" t="s">
        <v>24</v>
      </c>
      <c r="G50" s="81"/>
      <c r="H50" s="138" t="s">
        <v>177</v>
      </c>
      <c r="I50" s="82">
        <f>SUM(I47:I49)</f>
        <v>3527.4736000000003</v>
      </c>
      <c r="J50" s="82">
        <f t="shared" ref="J50:M50" si="5">SUM(J47:J49)</f>
        <v>2442.3728000000001</v>
      </c>
      <c r="K50" s="82">
        <f t="shared" si="5"/>
        <v>1979.3647999999998</v>
      </c>
      <c r="L50" s="82">
        <f t="shared" si="5"/>
        <v>1718.7744000000002</v>
      </c>
      <c r="M50" s="174">
        <f t="shared" si="5"/>
        <v>1313.3456000000001</v>
      </c>
    </row>
    <row r="51" spans="1:13" s="4" customFormat="1" ht="20.100000000000001" customHeight="1" x14ac:dyDescent="0.2">
      <c r="A51" s="1"/>
      <c r="B51" s="1"/>
      <c r="C51" s="1"/>
      <c r="D51" s="1"/>
      <c r="E51" s="33"/>
      <c r="F51" s="83" t="s">
        <v>25</v>
      </c>
      <c r="G51" s="84"/>
      <c r="H51" s="139" t="s">
        <v>177</v>
      </c>
      <c r="I51" s="85">
        <f>I47+I49</f>
        <v>3452.4736000000003</v>
      </c>
      <c r="J51" s="85">
        <f t="shared" ref="J51:M51" si="6">J47+J49</f>
        <v>2367.3728000000001</v>
      </c>
      <c r="K51" s="85">
        <f t="shared" si="6"/>
        <v>1904.3647999999998</v>
      </c>
      <c r="L51" s="85">
        <f t="shared" si="6"/>
        <v>1643.7744000000002</v>
      </c>
      <c r="M51" s="175">
        <f t="shared" si="6"/>
        <v>1238.3456000000001</v>
      </c>
    </row>
    <row r="52" spans="1:13" s="5" customFormat="1" ht="20.100000000000001" customHeight="1" x14ac:dyDescent="0.25">
      <c r="A52" s="1"/>
      <c r="B52" s="1"/>
      <c r="C52" s="1"/>
      <c r="D52" s="1"/>
      <c r="E52" s="33"/>
      <c r="F52" s="207" t="s">
        <v>191</v>
      </c>
      <c r="G52" s="208"/>
      <c r="H52" s="208"/>
      <c r="I52" s="208"/>
      <c r="J52" s="208"/>
      <c r="K52" s="208"/>
      <c r="L52" s="208"/>
      <c r="M52" s="209"/>
    </row>
    <row r="53" spans="1:13" s="4" customFormat="1" ht="20.100000000000001" customHeight="1" x14ac:dyDescent="0.2">
      <c r="A53" s="1"/>
      <c r="B53" s="1"/>
      <c r="C53" s="1"/>
      <c r="D53" s="1"/>
      <c r="E53" s="33"/>
      <c r="F53" s="1"/>
      <c r="G53" s="1"/>
      <c r="H53" s="1"/>
      <c r="I53" s="1"/>
      <c r="J53" s="1"/>
      <c r="K53" s="1"/>
      <c r="L53" s="1"/>
      <c r="M53" s="1"/>
    </row>
    <row r="54" spans="1:13" s="4" customFormat="1" ht="20.100000000000001" customHeight="1" x14ac:dyDescent="0.2">
      <c r="A54" s="1"/>
      <c r="B54" s="1"/>
      <c r="C54" s="1"/>
      <c r="D54" s="1"/>
      <c r="E54" s="71"/>
      <c r="F54" s="1"/>
      <c r="G54" s="1"/>
      <c r="H54" s="1"/>
      <c r="I54" s="1"/>
      <c r="J54" s="1"/>
      <c r="K54" s="1"/>
      <c r="L54" s="1"/>
      <c r="M54" s="1"/>
    </row>
    <row r="55" spans="1:13" s="4" customFormat="1" ht="20.100000000000001" customHeight="1" x14ac:dyDescent="0.2">
      <c r="A55" s="1"/>
      <c r="B55" s="1"/>
      <c r="C55" s="1"/>
      <c r="D55" s="1"/>
      <c r="E55" s="71"/>
      <c r="F55" s="1"/>
      <c r="G55" s="1"/>
      <c r="H55" s="1"/>
      <c r="I55" s="1"/>
      <c r="J55" s="1"/>
      <c r="K55" s="1"/>
      <c r="L55" s="1"/>
      <c r="M55" s="1"/>
    </row>
    <row r="56" spans="1:13" s="4" customFormat="1" ht="20.100000000000001" hidden="1" customHeight="1" x14ac:dyDescent="0.2">
      <c r="A56" s="1"/>
      <c r="B56" s="1"/>
      <c r="C56" s="1"/>
      <c r="D56" s="1"/>
      <c r="E56" s="79"/>
      <c r="F56" s="1"/>
      <c r="G56" s="1"/>
      <c r="H56" s="1"/>
      <c r="I56" s="1"/>
      <c r="J56" s="1"/>
      <c r="K56" s="1"/>
      <c r="L56" s="1"/>
      <c r="M56" s="1"/>
    </row>
    <row r="57" spans="1:13" s="5" customFormat="1" ht="20.100000000000001" customHeight="1" x14ac:dyDescent="0.2">
      <c r="A57" s="1"/>
      <c r="B57" s="1"/>
      <c r="C57" s="1"/>
      <c r="D57" s="1"/>
      <c r="E57" s="33"/>
      <c r="F57" s="1"/>
      <c r="G57" s="1"/>
      <c r="H57" s="1"/>
      <c r="I57" s="1"/>
      <c r="J57" s="1"/>
      <c r="K57" s="1"/>
      <c r="L57" s="1"/>
      <c r="M57" s="1"/>
    </row>
    <row r="58" spans="1:13" s="5" customFormat="1" ht="20.100000000000001" customHeight="1" x14ac:dyDescent="0.2">
      <c r="A58" s="1"/>
      <c r="B58" s="1"/>
      <c r="C58" s="1"/>
      <c r="D58" s="1"/>
      <c r="E58" s="36"/>
      <c r="F58" s="1"/>
      <c r="G58" s="1"/>
      <c r="H58" s="1"/>
      <c r="I58" s="1"/>
      <c r="J58" s="1"/>
      <c r="K58" s="1"/>
      <c r="L58" s="1"/>
      <c r="M58" s="1"/>
    </row>
    <row r="59" spans="1:13" ht="20.100000000000001" customHeight="1" x14ac:dyDescent="0.2">
      <c r="E59" s="36"/>
    </row>
  </sheetData>
  <sheetProtection password="9A3C" sheet="1" objects="1" scenarios="1" selectLockedCells="1"/>
  <mergeCells count="70">
    <mergeCell ref="A34:B34"/>
    <mergeCell ref="A35:B35"/>
    <mergeCell ref="A30:B30"/>
    <mergeCell ref="C42:D42"/>
    <mergeCell ref="A38:B38"/>
    <mergeCell ref="A39:B39"/>
    <mergeCell ref="C35:D35"/>
    <mergeCell ref="A40:B40"/>
    <mergeCell ref="A41:B41"/>
    <mergeCell ref="A42:B42"/>
    <mergeCell ref="A28:B28"/>
    <mergeCell ref="A29:B29"/>
    <mergeCell ref="A31:B32"/>
    <mergeCell ref="C30:D30"/>
    <mergeCell ref="A33:B33"/>
    <mergeCell ref="A20:B20"/>
    <mergeCell ref="A18:B19"/>
    <mergeCell ref="A21:B22"/>
    <mergeCell ref="A46:B47"/>
    <mergeCell ref="C21:D21"/>
    <mergeCell ref="A23:B24"/>
    <mergeCell ref="A25:B25"/>
    <mergeCell ref="C26:D26"/>
    <mergeCell ref="A26:B26"/>
    <mergeCell ref="C28:D28"/>
    <mergeCell ref="C29:D29"/>
    <mergeCell ref="C23:D23"/>
    <mergeCell ref="C32:D32"/>
    <mergeCell ref="C27:D27"/>
    <mergeCell ref="C33:D33"/>
    <mergeCell ref="A27:B27"/>
    <mergeCell ref="A44:B44"/>
    <mergeCell ref="C44:D44"/>
    <mergeCell ref="A45:B45"/>
    <mergeCell ref="C45:D45"/>
    <mergeCell ref="A36:B36"/>
    <mergeCell ref="C36:D36"/>
    <mergeCell ref="A37:B37"/>
    <mergeCell ref="C43:D43"/>
    <mergeCell ref="C37:D37"/>
    <mergeCell ref="A43:B43"/>
    <mergeCell ref="C40:D40"/>
    <mergeCell ref="C41:D41"/>
    <mergeCell ref="C38:D38"/>
    <mergeCell ref="C39:D39"/>
    <mergeCell ref="F52:M52"/>
    <mergeCell ref="C13:D13"/>
    <mergeCell ref="C14:D14"/>
    <mergeCell ref="C15:D15"/>
    <mergeCell ref="C16:D16"/>
    <mergeCell ref="C17:D17"/>
    <mergeCell ref="C18:D19"/>
    <mergeCell ref="C31:D31"/>
    <mergeCell ref="C24:D24"/>
    <mergeCell ref="C25:D25"/>
    <mergeCell ref="C20:D20"/>
    <mergeCell ref="C34:D34"/>
    <mergeCell ref="C22:D22"/>
    <mergeCell ref="C46:D47"/>
    <mergeCell ref="A10:M10"/>
    <mergeCell ref="H12:M12"/>
    <mergeCell ref="H14:M14"/>
    <mergeCell ref="F18:G18"/>
    <mergeCell ref="F17:G17"/>
    <mergeCell ref="A12:D12"/>
    <mergeCell ref="A13:B13"/>
    <mergeCell ref="A14:B14"/>
    <mergeCell ref="A15:B15"/>
    <mergeCell ref="A16:B16"/>
    <mergeCell ref="A17:B17"/>
  </mergeCells>
  <phoneticPr fontId="5" type="noConversion"/>
  <conditionalFormatting sqref="J16">
    <cfRule type="cellIs" dxfId="27" priority="1" stopIfTrue="1" operator="greaterThan">
      <formula>2</formula>
    </cfRule>
    <cfRule type="cellIs" dxfId="26" priority="2" stopIfTrue="1" operator="lessThan">
      <formula>1</formula>
    </cfRule>
  </conditionalFormatting>
  <conditionalFormatting sqref="M16 M18">
    <cfRule type="cellIs" dxfId="25" priority="3" stopIfTrue="1" operator="greaterThan">
      <formula>73</formula>
    </cfRule>
    <cfRule type="cellIs" dxfId="24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6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3" name="Check Box 10">
              <controlPr locked="0" defaultSize="0" autoFill="0" autoLine="0" autoPict="0">
                <anchor moveWithCells="1">
                  <from>
                    <xdr:col>9</xdr:col>
                    <xdr:colOff>828675</xdr:colOff>
                    <xdr:row>19</xdr:row>
                    <xdr:rowOff>66675</xdr:rowOff>
                  </from>
                  <to>
                    <xdr:col>9</xdr:col>
                    <xdr:colOff>1104900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4" name="Check Box 11">
              <controlPr locked="0" defaultSize="0" autoFill="0" autoLine="0" autoPict="0">
                <anchor moveWithCells="1">
                  <from>
                    <xdr:col>9</xdr:col>
                    <xdr:colOff>828675</xdr:colOff>
                    <xdr:row>21</xdr:row>
                    <xdr:rowOff>66675</xdr:rowOff>
                  </from>
                  <to>
                    <xdr:col>9</xdr:col>
                    <xdr:colOff>1104900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pageSetUpPr fitToPage="1"/>
  </sheetPr>
  <dimension ref="A1:M60"/>
  <sheetViews>
    <sheetView showGridLines="0" zoomScale="70" zoomScaleNormal="70" workbookViewId="0"/>
  </sheetViews>
  <sheetFormatPr baseColWidth="10" defaultColWidth="8.85546875" defaultRowHeight="12.75" x14ac:dyDescent="0.2"/>
  <cols>
    <col min="1" max="1" width="33.7109375" style="1" customWidth="1"/>
    <col min="2" max="2" width="16.85546875" style="1" customWidth="1"/>
    <col min="3" max="3" width="22.7109375" style="1" customWidth="1"/>
    <col min="4" max="4" width="32.28515625" style="1" customWidth="1"/>
    <col min="5" max="5" width="1.42578125" style="8" customWidth="1"/>
    <col min="6" max="6" width="16.7109375" style="1" customWidth="1"/>
    <col min="7" max="7" width="24.140625" style="1" customWidth="1"/>
    <col min="8" max="8" width="8.1406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256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0.100000000000001" customHeight="1" x14ac:dyDescent="0.35">
      <c r="A12" s="206" t="s">
        <v>255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212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244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205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206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0.100000000000001" customHeight="1" x14ac:dyDescent="0.2">
      <c r="A19" s="194"/>
      <c r="B19" s="194"/>
      <c r="C19" s="211"/>
      <c r="D19" s="211"/>
      <c r="E19" s="36"/>
      <c r="F19" s="88"/>
      <c r="G19" s="165"/>
      <c r="H19" s="166"/>
      <c r="I19" s="88"/>
      <c r="J19" s="88" t="s">
        <v>4</v>
      </c>
      <c r="K19" s="88" t="s">
        <v>4</v>
      </c>
      <c r="L19" s="88" t="s">
        <v>4</v>
      </c>
      <c r="M19" s="88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88"/>
      <c r="G20" s="88"/>
      <c r="H20" s="88"/>
      <c r="I20" s="87" t="b">
        <v>0</v>
      </c>
      <c r="J20" s="88"/>
      <c r="K20" s="167" t="s">
        <v>83</v>
      </c>
      <c r="L20" s="88"/>
      <c r="M20" s="88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88"/>
      <c r="G21" s="88"/>
      <c r="H21" s="88"/>
      <c r="I21" s="88"/>
      <c r="J21" s="88"/>
      <c r="K21" s="167"/>
      <c r="L21" s="88"/>
      <c r="M21" s="87"/>
    </row>
    <row r="22" spans="1:13" s="7" customFormat="1" ht="20.100000000000001" customHeight="1" x14ac:dyDescent="0.2">
      <c r="A22" s="194"/>
      <c r="B22" s="194"/>
      <c r="C22" s="199" t="s">
        <v>4</v>
      </c>
      <c r="D22" s="199"/>
      <c r="E22" s="33"/>
      <c r="F22" s="106"/>
      <c r="G22" s="106"/>
      <c r="H22" s="106"/>
      <c r="I22" s="87" t="b">
        <v>1</v>
      </c>
      <c r="J22" s="106"/>
      <c r="K22" s="168" t="s">
        <v>84</v>
      </c>
      <c r="L22" s="106"/>
      <c r="M22" s="10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106"/>
      <c r="G23" s="106"/>
      <c r="H23" s="106"/>
      <c r="I23" s="169" t="b">
        <v>1</v>
      </c>
      <c r="J23" s="87"/>
      <c r="K23" s="168"/>
      <c r="L23" s="106"/>
      <c r="M23" s="106"/>
    </row>
    <row r="24" spans="1:13" s="7" customFormat="1" ht="20.100000000000001" customHeight="1" x14ac:dyDescent="0.2">
      <c r="A24" s="193"/>
      <c r="B24" s="193"/>
      <c r="C24" s="231" t="s">
        <v>4</v>
      </c>
      <c r="D24" s="231"/>
      <c r="E24" s="33"/>
      <c r="F24" s="106"/>
      <c r="G24" s="170" t="s">
        <v>4</v>
      </c>
      <c r="H24" s="106"/>
      <c r="I24" s="106"/>
      <c r="J24" s="106"/>
      <c r="K24" s="164" t="s">
        <v>197</v>
      </c>
      <c r="L24" s="106"/>
      <c r="M24" s="106"/>
    </row>
    <row r="25" spans="1:13" s="3" customFormat="1" ht="20.100000000000001" customHeight="1" x14ac:dyDescent="0.25">
      <c r="A25" s="194" t="s">
        <v>100</v>
      </c>
      <c r="B25" s="194"/>
      <c r="C25" s="198" t="s">
        <v>213</v>
      </c>
      <c r="D25" s="198"/>
      <c r="E25" s="33"/>
      <c r="F25" s="43" t="s">
        <v>91</v>
      </c>
      <c r="G25" s="44"/>
      <c r="H25" s="137" t="s">
        <v>85</v>
      </c>
      <c r="I25" s="45" t="s">
        <v>86</v>
      </c>
      <c r="J25" s="45" t="s">
        <v>87</v>
      </c>
      <c r="K25" s="45" t="s">
        <v>88</v>
      </c>
      <c r="L25" s="45" t="s">
        <v>89</v>
      </c>
      <c r="M25" s="46" t="s">
        <v>90</v>
      </c>
    </row>
    <row r="26" spans="1:13" s="4" customFormat="1" ht="20.100000000000001" customHeight="1" x14ac:dyDescent="0.2">
      <c r="A26" s="193" t="s">
        <v>101</v>
      </c>
      <c r="B26" s="193"/>
      <c r="C26" s="195" t="s">
        <v>130</v>
      </c>
      <c r="D26" s="195"/>
      <c r="E26" s="33"/>
      <c r="F26" s="47" t="s">
        <v>176</v>
      </c>
      <c r="G26" s="48"/>
      <c r="H26" s="129" t="s">
        <v>177</v>
      </c>
      <c r="I26" s="48">
        <v>1000</v>
      </c>
      <c r="J26" s="48">
        <v>2000</v>
      </c>
      <c r="K26" s="48">
        <v>5000</v>
      </c>
      <c r="L26" s="48">
        <v>10000</v>
      </c>
      <c r="M26" s="49">
        <v>20000</v>
      </c>
    </row>
    <row r="27" spans="1:13" s="4" customFormat="1" ht="20.100000000000001" customHeight="1" x14ac:dyDescent="0.2">
      <c r="A27" s="194" t="s">
        <v>102</v>
      </c>
      <c r="B27" s="194"/>
      <c r="C27" s="198" t="s">
        <v>214</v>
      </c>
      <c r="D27" s="198"/>
      <c r="E27" s="33"/>
      <c r="F27" s="50" t="s">
        <v>175</v>
      </c>
      <c r="G27" s="51"/>
      <c r="H27" s="131" t="s">
        <v>177</v>
      </c>
      <c r="I27" s="52">
        <v>2000</v>
      </c>
      <c r="J27" s="52">
        <v>3000</v>
      </c>
      <c r="K27" s="52">
        <v>5000</v>
      </c>
      <c r="L27" s="52">
        <v>10000</v>
      </c>
      <c r="M27" s="53">
        <v>20000</v>
      </c>
    </row>
    <row r="28" spans="1:13" s="4" customFormat="1" ht="20.100000000000001" customHeight="1" x14ac:dyDescent="0.2">
      <c r="A28" s="193" t="s">
        <v>103</v>
      </c>
      <c r="B28" s="193"/>
      <c r="C28" s="200">
        <v>1000000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198" t="s">
        <v>190</v>
      </c>
      <c r="D29" s="198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20.100000000000001" customHeight="1" x14ac:dyDescent="0.2">
      <c r="A30" s="193" t="s">
        <v>105</v>
      </c>
      <c r="B30" s="193"/>
      <c r="C30" s="268" t="s">
        <v>153</v>
      </c>
      <c r="D30" s="269"/>
      <c r="E30" s="33"/>
      <c r="F30" s="56" t="s">
        <v>27</v>
      </c>
      <c r="G30" s="57"/>
      <c r="H30" s="142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140</v>
      </c>
      <c r="D31" s="210"/>
      <c r="E31" s="33"/>
      <c r="F31" s="25" t="s">
        <v>15</v>
      </c>
      <c r="G31" s="59"/>
      <c r="H31" s="130" t="s">
        <v>177</v>
      </c>
      <c r="I31" s="60">
        <f>VLOOKUP($M$16,Tablas!$A$274:$H$336,4,TRUE)</f>
        <v>4139</v>
      </c>
      <c r="J31" s="60">
        <f>VLOOKUP($M$16,Tablas!$A$274:$H$336,5,TRUE)</f>
        <v>3219</v>
      </c>
      <c r="K31" s="60">
        <f>VLOOKUP($M$16,Tablas!$A$274:$H$336,6,TRUE)</f>
        <v>2478</v>
      </c>
      <c r="L31" s="60">
        <f>VLOOKUP($M$16,Tablas!$A$274:$H$336,7,TRUE)</f>
        <v>1891</v>
      </c>
      <c r="M31" s="59">
        <f>VLOOKUP($M$16,Tablas!$A$274:$H$336,8,TRUE)</f>
        <v>1405</v>
      </c>
    </row>
    <row r="32" spans="1:13" s="4" customFormat="1" ht="20.100000000000001" customHeight="1" x14ac:dyDescent="0.2">
      <c r="A32" s="194"/>
      <c r="B32" s="194"/>
      <c r="C32" s="199" t="s">
        <v>215</v>
      </c>
      <c r="D32" s="199"/>
      <c r="E32" s="61"/>
      <c r="F32" s="62" t="s">
        <v>16</v>
      </c>
      <c r="G32" s="63"/>
      <c r="H32" s="134" t="s">
        <v>177</v>
      </c>
      <c r="I32" s="64">
        <f>IF($J$16=1,0,(VLOOKUP($M$18,Tablas!$A$274:$H$336,4,TRUE)))</f>
        <v>0</v>
      </c>
      <c r="J32" s="64">
        <f>IF($J$16=1,0,(VLOOKUP($M$18,Tablas!$A$274:$H$336,5,TRUE)))</f>
        <v>0</v>
      </c>
      <c r="K32" s="64">
        <f>IF($J$16=1,0,(VLOOKUP($M$18,Tablas!$A$274:$H$336,6,TRUE)))</f>
        <v>0</v>
      </c>
      <c r="L32" s="64">
        <f>IF($J$16=1,0,(VLOOKUP($M$18,Tablas!$A$274:$H$336,7,TRUE)))</f>
        <v>0</v>
      </c>
      <c r="M32" s="63">
        <f>IF($J$16=1,0,(VLOOKUP($M$18,Tablas!$A$274:$H$336,8,TRUE)))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132</v>
      </c>
      <c r="D33" s="195"/>
      <c r="E33" s="33"/>
      <c r="F33" s="65" t="s">
        <v>17</v>
      </c>
      <c r="G33" s="66"/>
      <c r="H33" s="134" t="s">
        <v>177</v>
      </c>
      <c r="I33" s="67">
        <f>IF($J$18=0,0,(VLOOKUP($J$18,Tablas!$A$337:$H$339,4,TRUE)))</f>
        <v>3143</v>
      </c>
      <c r="J33" s="67">
        <f>IF($J$18=0,0,(VLOOKUP($J$18,Tablas!$A$337:$H$339,5,TRUE)))</f>
        <v>2146</v>
      </c>
      <c r="K33" s="67">
        <f>IF($J$18=0,0,(VLOOKUP($J$18,Tablas!$A$337:$H$339,6,TRUE)))</f>
        <v>1661</v>
      </c>
      <c r="L33" s="67">
        <f>IF($J$18=0,0,(VLOOKUP($J$18,Tablas!$A$337:$H$339,7,TRUE)))</f>
        <v>1456</v>
      </c>
      <c r="M33" s="66">
        <f>IF($J$18=0,0,(VLOOKUP($J$18,Tablas!$A$337:$H$339,8,TRUE)))</f>
        <v>1022</v>
      </c>
    </row>
    <row r="34" spans="1:13" s="4" customFormat="1" ht="20.100000000000001" customHeight="1" x14ac:dyDescent="0.2">
      <c r="A34" s="194" t="s">
        <v>107</v>
      </c>
      <c r="B34" s="194"/>
      <c r="C34" s="197">
        <v>100000</v>
      </c>
      <c r="D34" s="198"/>
      <c r="E34" s="33"/>
      <c r="F34" s="62" t="s">
        <v>20</v>
      </c>
      <c r="G34" s="63"/>
      <c r="H34" s="134" t="s">
        <v>177</v>
      </c>
      <c r="I34" s="64">
        <f>+IF($I$20=FALSE,0,Tablas!D$340)</f>
        <v>0</v>
      </c>
      <c r="J34" s="64">
        <f>+IF($I$20=FALSE,0,Tablas!E$340)</f>
        <v>0</v>
      </c>
      <c r="K34" s="64">
        <f>+IF($I$20=FALSE,0,Tablas!F$340)</f>
        <v>0</v>
      </c>
      <c r="L34" s="64">
        <f>+IF($I$20=FALSE,0,Tablas!G$340)</f>
        <v>0</v>
      </c>
      <c r="M34" s="63">
        <f>+IF($I$20=FALSE,0,Tablas!H$340)</f>
        <v>0</v>
      </c>
    </row>
    <row r="35" spans="1:13" s="4" customFormat="1" ht="20.100000000000001" customHeight="1" x14ac:dyDescent="0.2">
      <c r="A35" s="193" t="s">
        <v>108</v>
      </c>
      <c r="B35" s="193"/>
      <c r="C35" s="196">
        <v>1</v>
      </c>
      <c r="D35" s="195"/>
      <c r="E35" s="33"/>
      <c r="F35" s="62" t="s">
        <v>23</v>
      </c>
      <c r="G35" s="63"/>
      <c r="H35" s="134" t="s">
        <v>177</v>
      </c>
      <c r="I35" s="64">
        <f>IF($I$22=FALSE,0,Tablas!D$341)</f>
        <v>300</v>
      </c>
      <c r="J35" s="64">
        <f>IF($I$22=FALSE,0,Tablas!E$341)</f>
        <v>300</v>
      </c>
      <c r="K35" s="64">
        <f>IF($I$22=FALSE,0,Tablas!F$341)</f>
        <v>300</v>
      </c>
      <c r="L35" s="64">
        <f>IF($I$22=FALSE,0,Tablas!G$341)</f>
        <v>300</v>
      </c>
      <c r="M35" s="63">
        <f>IF($I$22=FALSE,0,Tablas!H$341)</f>
        <v>300</v>
      </c>
    </row>
    <row r="36" spans="1:13" s="4" customFormat="1" ht="20.100000000000001" customHeight="1" x14ac:dyDescent="0.2">
      <c r="A36" s="275" t="s">
        <v>109</v>
      </c>
      <c r="B36" s="276"/>
      <c r="C36" s="256" t="s">
        <v>144</v>
      </c>
      <c r="D36" s="257"/>
      <c r="E36" s="33"/>
      <c r="F36" s="62" t="s">
        <v>196</v>
      </c>
      <c r="G36" s="63"/>
      <c r="H36" s="134" t="s">
        <v>177</v>
      </c>
      <c r="I36" s="64">
        <f>IF($I$23=FALSE,0,Tablas!D$342)</f>
        <v>180</v>
      </c>
      <c r="J36" s="64">
        <f>IF($I$23=FALSE,0,Tablas!E$342)</f>
        <v>345</v>
      </c>
      <c r="K36" s="64">
        <f>IF($I$23=FALSE,0,Tablas!F$342)</f>
        <v>775</v>
      </c>
      <c r="L36" s="64">
        <f>IF($I$23=FALSE,0,Tablas!G$342)</f>
        <v>1330</v>
      </c>
      <c r="M36" s="63">
        <f>IF($I$23=FALSE,0,Tablas!H$342)</f>
        <v>2080</v>
      </c>
    </row>
    <row r="37" spans="1:13" s="5" customFormat="1" ht="20.100000000000001" customHeight="1" x14ac:dyDescent="0.2">
      <c r="A37" s="277"/>
      <c r="B37" s="278"/>
      <c r="C37" s="258"/>
      <c r="D37" s="259"/>
      <c r="E37" s="33"/>
      <c r="F37" s="68" t="s">
        <v>19</v>
      </c>
      <c r="G37" s="69"/>
      <c r="H37" s="130" t="s">
        <v>177</v>
      </c>
      <c r="I37" s="70">
        <f>SUM(I31:I36)</f>
        <v>7762</v>
      </c>
      <c r="J37" s="70">
        <f t="shared" ref="J37:M37" si="0">SUM(J31:J36)</f>
        <v>6010</v>
      </c>
      <c r="K37" s="70">
        <f t="shared" si="0"/>
        <v>5214</v>
      </c>
      <c r="L37" s="70">
        <f t="shared" si="0"/>
        <v>4977</v>
      </c>
      <c r="M37" s="171">
        <f t="shared" si="0"/>
        <v>4807</v>
      </c>
    </row>
    <row r="38" spans="1:13" s="4" customFormat="1" ht="20.100000000000001" customHeight="1" x14ac:dyDescent="0.2">
      <c r="A38" s="277"/>
      <c r="B38" s="278"/>
      <c r="C38" s="258"/>
      <c r="D38" s="259"/>
      <c r="E38" s="33"/>
      <c r="F38" s="62" t="s">
        <v>21</v>
      </c>
      <c r="G38" s="63"/>
      <c r="H38" s="134" t="s">
        <v>177</v>
      </c>
      <c r="I38" s="64">
        <v>75</v>
      </c>
      <c r="J38" s="64">
        <v>75</v>
      </c>
      <c r="K38" s="64">
        <v>75</v>
      </c>
      <c r="L38" s="64">
        <v>75</v>
      </c>
      <c r="M38" s="63">
        <v>75</v>
      </c>
    </row>
    <row r="39" spans="1:13" s="4" customFormat="1" ht="20.100000000000001" customHeight="1" x14ac:dyDescent="0.2">
      <c r="A39" s="277"/>
      <c r="B39" s="278"/>
      <c r="C39" s="258"/>
      <c r="D39" s="259"/>
      <c r="E39" s="33"/>
      <c r="F39" s="62" t="s">
        <v>193</v>
      </c>
      <c r="G39" s="63"/>
      <c r="H39" s="136" t="s">
        <v>177</v>
      </c>
      <c r="I39" s="64">
        <f>I37*0.12 + I38*0.12</f>
        <v>940.43999999999994</v>
      </c>
      <c r="J39" s="64">
        <f t="shared" ref="J39:M39" si="1">J37*0.12 + J38*0.12</f>
        <v>730.19999999999993</v>
      </c>
      <c r="K39" s="64">
        <f t="shared" si="1"/>
        <v>634.67999999999995</v>
      </c>
      <c r="L39" s="64">
        <f t="shared" si="1"/>
        <v>606.24</v>
      </c>
      <c r="M39" s="182">
        <f t="shared" si="1"/>
        <v>585.84</v>
      </c>
    </row>
    <row r="40" spans="1:13" s="4" customFormat="1" ht="20.100000000000001" customHeight="1" x14ac:dyDescent="0.2">
      <c r="A40" s="277"/>
      <c r="B40" s="278"/>
      <c r="C40" s="258"/>
      <c r="D40" s="259"/>
      <c r="E40" s="71"/>
      <c r="F40" s="73" t="s">
        <v>18</v>
      </c>
      <c r="G40" s="74"/>
      <c r="H40" s="140" t="s">
        <v>177</v>
      </c>
      <c r="I40" s="75">
        <f>SUM(I37:I39)</f>
        <v>8777.44</v>
      </c>
      <c r="J40" s="75">
        <f t="shared" ref="J40:M40" si="2">SUM(J37:J39)</f>
        <v>6815.2</v>
      </c>
      <c r="K40" s="75">
        <f t="shared" si="2"/>
        <v>5923.68</v>
      </c>
      <c r="L40" s="75">
        <f t="shared" si="2"/>
        <v>5658.24</v>
      </c>
      <c r="M40" s="173">
        <f t="shared" si="2"/>
        <v>5467.84</v>
      </c>
    </row>
    <row r="41" spans="1:13" s="4" customFormat="1" ht="20.100000000000001" customHeight="1" thickBot="1" x14ac:dyDescent="0.25">
      <c r="A41" s="277"/>
      <c r="B41" s="278"/>
      <c r="C41" s="260"/>
      <c r="D41" s="261"/>
      <c r="E41" s="71"/>
      <c r="F41" s="76"/>
      <c r="G41" s="76"/>
      <c r="H41" s="135"/>
      <c r="I41" s="76"/>
      <c r="J41" s="76"/>
      <c r="K41" s="76"/>
      <c r="L41" s="76"/>
      <c r="M41" s="55"/>
    </row>
    <row r="42" spans="1:13" s="4" customFormat="1" ht="20.100000000000001" customHeight="1" x14ac:dyDescent="0.2">
      <c r="A42" s="277"/>
      <c r="B42" s="278"/>
      <c r="C42" s="262">
        <v>1</v>
      </c>
      <c r="D42" s="263"/>
      <c r="E42" s="72"/>
      <c r="F42" s="56" t="s">
        <v>26</v>
      </c>
      <c r="G42" s="57"/>
      <c r="H42" s="142"/>
      <c r="I42" s="57"/>
      <c r="J42" s="57"/>
      <c r="K42" s="57"/>
      <c r="L42" s="57"/>
      <c r="M42" s="58"/>
    </row>
    <row r="43" spans="1:13" s="5" customFormat="1" ht="20.100000000000001" customHeight="1" x14ac:dyDescent="0.2">
      <c r="A43" s="279"/>
      <c r="B43" s="280"/>
      <c r="C43" s="264"/>
      <c r="D43" s="265"/>
      <c r="E43" s="72"/>
      <c r="F43" s="77" t="s">
        <v>15</v>
      </c>
      <c r="G43" s="78"/>
      <c r="H43" s="136" t="s">
        <v>177</v>
      </c>
      <c r="I43" s="64">
        <f>VLOOKUP($M$16,Tablas!$A$346:$H$408,4,TRUE)</f>
        <v>2193.67</v>
      </c>
      <c r="J43" s="64">
        <f>VLOOKUP($M$16,Tablas!$A$346:$H$408,5,TRUE)</f>
        <v>1706.0700000000002</v>
      </c>
      <c r="K43" s="64">
        <f>VLOOKUP($M$16,Tablas!$A$346:$H$408,6,TRUE)</f>
        <v>1313.3400000000001</v>
      </c>
      <c r="L43" s="64">
        <f>VLOOKUP($M$16,Tablas!$A$346:$H$408,7,TRUE)</f>
        <v>1002.23</v>
      </c>
      <c r="M43" s="63">
        <f>VLOOKUP($M$16,Tablas!$A$346:$H$408,8,TRUE)</f>
        <v>744.65000000000009</v>
      </c>
    </row>
    <row r="44" spans="1:13" s="4" customFormat="1" ht="20.100000000000001" customHeight="1" x14ac:dyDescent="0.2">
      <c r="A44" s="221" t="s">
        <v>165</v>
      </c>
      <c r="B44" s="222"/>
      <c r="C44" s="270" t="s">
        <v>169</v>
      </c>
      <c r="D44" s="271"/>
      <c r="E44" s="72"/>
      <c r="F44" s="62" t="s">
        <v>16</v>
      </c>
      <c r="G44" s="63"/>
      <c r="H44" s="136" t="s">
        <v>177</v>
      </c>
      <c r="I44" s="64">
        <f>IF($J$16=1,0,(VLOOKUP($M$18,Tablas!$A$346:$H$408,4,TRUE)))</f>
        <v>0</v>
      </c>
      <c r="J44" s="64">
        <f>IF($J$16=1,0,(VLOOKUP($M$18,Tablas!$A$346:$H$408,5,TRUE)))</f>
        <v>0</v>
      </c>
      <c r="K44" s="64">
        <f>IF($J$16=1,0,(VLOOKUP($M$18,Tablas!$A$346:$H$408,6,TRUE)))</f>
        <v>0</v>
      </c>
      <c r="L44" s="64">
        <f>IF($J$16=1,0,(VLOOKUP($M$18,Tablas!$A$346:$H$408,7,TRUE)))</f>
        <v>0</v>
      </c>
      <c r="M44" s="63">
        <f>IF($J$16=1,0,(VLOOKUP($M$18,Tablas!$A$346:$H$408,8,TRUE)))</f>
        <v>0</v>
      </c>
    </row>
    <row r="45" spans="1:13" s="5" customFormat="1" ht="20.100000000000001" customHeight="1" x14ac:dyDescent="0.2">
      <c r="A45" s="125"/>
      <c r="B45" s="126"/>
      <c r="C45" s="127"/>
      <c r="D45" s="128"/>
      <c r="E45" s="72"/>
      <c r="F45" s="62" t="s">
        <v>17</v>
      </c>
      <c r="G45" s="63"/>
      <c r="H45" s="136" t="s">
        <v>177</v>
      </c>
      <c r="I45" s="64">
        <f>IF($J$18=0,0,(VLOOKUP($J$18,Tablas!$A$409:$H$411,4,TRUE)))</f>
        <v>1665.7900000000002</v>
      </c>
      <c r="J45" s="64">
        <f>IF($J$18=0,0,(VLOOKUP($J$18,Tablas!$A$409:$H$411,5,TRUE)))</f>
        <v>1137.3800000000001</v>
      </c>
      <c r="K45" s="64">
        <f>IF($J$18=0,0,(VLOOKUP($J$18,Tablas!$A$409:$H$411,6,TRUE)))</f>
        <v>880.33</v>
      </c>
      <c r="L45" s="64">
        <f>IF($J$18=0,0,(VLOOKUP($J$18,Tablas!$A$409:$H$411,7,TRUE)))</f>
        <v>771.68000000000006</v>
      </c>
      <c r="M45" s="63">
        <f>IF($J$18=0,0,(VLOOKUP($J$18,Tablas!$A$409:$H$411,8,TRUE)))</f>
        <v>541.66000000000008</v>
      </c>
    </row>
    <row r="46" spans="1:13" s="4" customFormat="1" ht="20.100000000000001" customHeight="1" x14ac:dyDescent="0.2">
      <c r="A46" s="194" t="s">
        <v>110</v>
      </c>
      <c r="B46" s="194"/>
      <c r="C46" s="250" t="s">
        <v>180</v>
      </c>
      <c r="D46" s="251"/>
      <c r="E46" s="33"/>
      <c r="F46" s="62" t="s">
        <v>20</v>
      </c>
      <c r="G46" s="63"/>
      <c r="H46" s="136" t="s">
        <v>177</v>
      </c>
      <c r="I46" s="64">
        <f>+IF($I$20=FALSE,0,Tablas!D$412)</f>
        <v>0</v>
      </c>
      <c r="J46" s="64">
        <f>+IF($I$20=FALSE,0,Tablas!E$412)</f>
        <v>0</v>
      </c>
      <c r="K46" s="64">
        <f>+IF($I$20=FALSE,0,Tablas!F$412)</f>
        <v>0</v>
      </c>
      <c r="L46" s="64">
        <f>+IF($I$20=FALSE,0,Tablas!G$412)</f>
        <v>0</v>
      </c>
      <c r="M46" s="63">
        <f>+IF($I$20=FALSE,0,Tablas!H$412)</f>
        <v>0</v>
      </c>
    </row>
    <row r="47" spans="1:13" s="4" customFormat="1" ht="20.100000000000001" customHeight="1" x14ac:dyDescent="0.2">
      <c r="A47" s="220" t="s">
        <v>134</v>
      </c>
      <c r="B47" s="220"/>
      <c r="C47" s="273" t="s">
        <v>180</v>
      </c>
      <c r="D47" s="274"/>
      <c r="E47" s="33"/>
      <c r="F47" s="62" t="s">
        <v>23</v>
      </c>
      <c r="G47" s="63"/>
      <c r="H47" s="136" t="s">
        <v>177</v>
      </c>
      <c r="I47" s="64">
        <f>IF($I$22=FALSE,0,Tablas!D$413)</f>
        <v>159</v>
      </c>
      <c r="J47" s="64">
        <f>IF($I$22=FALSE,0,Tablas!E$413)</f>
        <v>159</v>
      </c>
      <c r="K47" s="64">
        <f>IF($I$22=FALSE,0,Tablas!F$413)</f>
        <v>159</v>
      </c>
      <c r="L47" s="64">
        <f>IF($I$22=FALSE,0,Tablas!G$413)</f>
        <v>159</v>
      </c>
      <c r="M47" s="63">
        <f>IF($I$22=FALSE,0,Tablas!H$413)</f>
        <v>159</v>
      </c>
    </row>
    <row r="48" spans="1:13" s="4" customFormat="1" ht="20.100000000000001" customHeight="1" x14ac:dyDescent="0.2">
      <c r="A48" s="194" t="s">
        <v>181</v>
      </c>
      <c r="B48" s="194"/>
      <c r="C48" s="250" t="s">
        <v>180</v>
      </c>
      <c r="D48" s="251"/>
      <c r="E48" s="33"/>
      <c r="F48" s="62" t="s">
        <v>196</v>
      </c>
      <c r="G48" s="63"/>
      <c r="H48" s="136" t="s">
        <v>177</v>
      </c>
      <c r="I48" s="64">
        <f>IF($I$23=FALSE,0,Tablas!D$414)</f>
        <v>95.4</v>
      </c>
      <c r="J48" s="64">
        <f>IF($I$23=FALSE,0,Tablas!E$414)</f>
        <v>182.85000000000002</v>
      </c>
      <c r="K48" s="64">
        <f>IF($I$23=FALSE,0,Tablas!F$414)</f>
        <v>410.75</v>
      </c>
      <c r="L48" s="64">
        <f>IF($I$23=FALSE,0,Tablas!G$414)</f>
        <v>704.90000000000009</v>
      </c>
      <c r="M48" s="172">
        <f>IF($I$23=FALSE,0,Tablas!H$414)</f>
        <v>1102.4000000000001</v>
      </c>
    </row>
    <row r="49" spans="1:13" s="4" customFormat="1" ht="20.100000000000001" customHeight="1" x14ac:dyDescent="0.2">
      <c r="A49" s="220" t="s">
        <v>112</v>
      </c>
      <c r="B49" s="220"/>
      <c r="C49" s="248">
        <v>1</v>
      </c>
      <c r="D49" s="272"/>
      <c r="E49" s="33"/>
      <c r="F49" s="68" t="s">
        <v>19</v>
      </c>
      <c r="G49" s="69"/>
      <c r="H49" s="130" t="s">
        <v>177</v>
      </c>
      <c r="I49" s="70">
        <f>SUM(I43:I48)</f>
        <v>4113.8599999999997</v>
      </c>
      <c r="J49" s="70">
        <f t="shared" ref="J49:M49" si="3">SUM(J43:J48)</f>
        <v>3185.3</v>
      </c>
      <c r="K49" s="70">
        <f t="shared" si="3"/>
        <v>2763.42</v>
      </c>
      <c r="L49" s="70">
        <f t="shared" si="3"/>
        <v>2637.8100000000004</v>
      </c>
      <c r="M49" s="171">
        <f t="shared" si="3"/>
        <v>2547.71</v>
      </c>
    </row>
    <row r="50" spans="1:13" s="4" customFormat="1" ht="20.100000000000001" customHeight="1" x14ac:dyDescent="0.2">
      <c r="A50" s="194" t="s">
        <v>113</v>
      </c>
      <c r="B50" s="194"/>
      <c r="C50" s="240" t="s">
        <v>216</v>
      </c>
      <c r="D50" s="241"/>
      <c r="E50" s="33"/>
      <c r="F50" s="62" t="s">
        <v>21</v>
      </c>
      <c r="G50" s="63"/>
      <c r="H50" s="134" t="s">
        <v>177</v>
      </c>
      <c r="I50" s="64">
        <v>75</v>
      </c>
      <c r="J50" s="64">
        <v>75</v>
      </c>
      <c r="K50" s="64">
        <v>75</v>
      </c>
      <c r="L50" s="64">
        <v>75</v>
      </c>
      <c r="M50" s="63">
        <v>75</v>
      </c>
    </row>
    <row r="51" spans="1:13" s="4" customFormat="1" ht="20.100000000000001" customHeight="1" x14ac:dyDescent="0.2">
      <c r="A51" s="220" t="s">
        <v>114</v>
      </c>
      <c r="B51" s="220"/>
      <c r="C51" s="248" t="s">
        <v>217</v>
      </c>
      <c r="D51" s="249"/>
      <c r="E51" s="33"/>
      <c r="F51" s="62" t="s">
        <v>193</v>
      </c>
      <c r="G51" s="63"/>
      <c r="H51" s="136" t="s">
        <v>177</v>
      </c>
      <c r="I51" s="64">
        <f>I49*0.12 + I50*0.12</f>
        <v>502.66319999999996</v>
      </c>
      <c r="J51" s="64">
        <f t="shared" ref="J51:M51" si="4">J49*0.12 + J50*0.12</f>
        <v>391.23599999999999</v>
      </c>
      <c r="K51" s="64">
        <f t="shared" si="4"/>
        <v>340.61039999999997</v>
      </c>
      <c r="L51" s="64">
        <f t="shared" si="4"/>
        <v>325.53720000000004</v>
      </c>
      <c r="M51" s="182">
        <f t="shared" si="4"/>
        <v>314.72519999999997</v>
      </c>
    </row>
    <row r="52" spans="1:13" s="4" customFormat="1" ht="20.100000000000001" customHeight="1" x14ac:dyDescent="0.2">
      <c r="A52" s="194" t="s">
        <v>162</v>
      </c>
      <c r="B52" s="194"/>
      <c r="C52" s="240" t="s">
        <v>163</v>
      </c>
      <c r="D52" s="241"/>
      <c r="E52" s="33"/>
      <c r="F52" s="80" t="s">
        <v>24</v>
      </c>
      <c r="G52" s="81"/>
      <c r="H52" s="143" t="s">
        <v>177</v>
      </c>
      <c r="I52" s="82">
        <f>SUM(I49:I51)</f>
        <v>4691.5231999999996</v>
      </c>
      <c r="J52" s="82">
        <f t="shared" ref="J52:M52" si="5">SUM(J49:J51)</f>
        <v>3651.5360000000001</v>
      </c>
      <c r="K52" s="82">
        <f t="shared" si="5"/>
        <v>3179.0304000000001</v>
      </c>
      <c r="L52" s="82">
        <f t="shared" si="5"/>
        <v>3038.3472000000006</v>
      </c>
      <c r="M52" s="174">
        <f t="shared" si="5"/>
        <v>2937.4351999999999</v>
      </c>
    </row>
    <row r="53" spans="1:13" s="5" customFormat="1" ht="20.100000000000001" customHeight="1" x14ac:dyDescent="0.2">
      <c r="A53" s="221" t="s">
        <v>154</v>
      </c>
      <c r="B53" s="222"/>
      <c r="C53" s="252" t="s">
        <v>155</v>
      </c>
      <c r="D53" s="253"/>
      <c r="E53" s="33"/>
      <c r="F53" s="83" t="s">
        <v>25</v>
      </c>
      <c r="G53" s="84"/>
      <c r="H53" s="144" t="s">
        <v>177</v>
      </c>
      <c r="I53" s="85">
        <f>I49+I51</f>
        <v>4616.5231999999996</v>
      </c>
      <c r="J53" s="85">
        <f t="shared" ref="J53:M53" si="6">J49+J51</f>
        <v>3576.5360000000001</v>
      </c>
      <c r="K53" s="85">
        <f t="shared" si="6"/>
        <v>3104.0304000000001</v>
      </c>
      <c r="L53" s="85">
        <f t="shared" si="6"/>
        <v>2963.3472000000006</v>
      </c>
      <c r="M53" s="175">
        <f t="shared" si="6"/>
        <v>2862.4351999999999</v>
      </c>
    </row>
    <row r="54" spans="1:13" s="4" customFormat="1" ht="20.100000000000001" customHeight="1" x14ac:dyDescent="0.25">
      <c r="A54" s="266"/>
      <c r="B54" s="267"/>
      <c r="C54" s="254"/>
      <c r="D54" s="255"/>
      <c r="E54" s="33"/>
      <c r="F54" s="207" t="s">
        <v>191</v>
      </c>
      <c r="G54" s="208"/>
      <c r="H54" s="208"/>
      <c r="I54" s="208"/>
      <c r="J54" s="208"/>
      <c r="K54" s="208"/>
      <c r="L54" s="208"/>
      <c r="M54" s="209"/>
    </row>
    <row r="55" spans="1:13" s="4" customFormat="1" ht="20.100000000000001" customHeight="1" x14ac:dyDescent="0.2">
      <c r="A55" s="1"/>
      <c r="B55" s="1"/>
      <c r="C55" s="1"/>
      <c r="D55" s="1"/>
      <c r="E55" s="71"/>
      <c r="F55" s="1"/>
      <c r="G55" s="1"/>
      <c r="H55" s="1"/>
      <c r="I55" s="1"/>
      <c r="J55" s="1"/>
      <c r="K55" s="1"/>
      <c r="L55" s="1"/>
      <c r="M55" s="1"/>
    </row>
    <row r="56" spans="1:13" s="4" customFormat="1" ht="20.100000000000001" customHeight="1" x14ac:dyDescent="0.2">
      <c r="A56" s="1"/>
      <c r="B56" s="1" t="s">
        <v>4</v>
      </c>
      <c r="C56" s="1"/>
      <c r="D56" s="1"/>
      <c r="E56" s="71"/>
      <c r="F56" s="1"/>
      <c r="G56" s="1"/>
      <c r="H56" s="1"/>
      <c r="I56" s="1"/>
      <c r="J56" s="1"/>
      <c r="K56" s="1"/>
      <c r="L56" s="1"/>
      <c r="M56" s="1"/>
    </row>
    <row r="57" spans="1:13" s="4" customFormat="1" ht="20.100000000000001" customHeight="1" x14ac:dyDescent="0.2">
      <c r="A57" s="1"/>
      <c r="B57" s="1" t="s">
        <v>4</v>
      </c>
      <c r="C57" s="1"/>
      <c r="D57" s="1"/>
      <c r="E57" s="79"/>
      <c r="F57" s="1"/>
      <c r="G57" s="1"/>
      <c r="H57" s="1"/>
      <c r="I57" s="1"/>
      <c r="J57" s="1"/>
      <c r="K57" s="1"/>
      <c r="L57" s="1"/>
      <c r="M57" s="1"/>
    </row>
    <row r="58" spans="1:13" s="5" customFormat="1" ht="20.100000000000001" customHeight="1" x14ac:dyDescent="0.2">
      <c r="A58" s="1"/>
      <c r="B58" s="1"/>
      <c r="C58" s="1"/>
      <c r="D58" s="1"/>
      <c r="E58" s="33"/>
      <c r="F58" s="1"/>
      <c r="G58" s="1"/>
      <c r="H58" s="1"/>
      <c r="I58" s="1"/>
      <c r="J58" s="1"/>
      <c r="K58" s="1"/>
      <c r="L58" s="1"/>
      <c r="M58" s="1"/>
    </row>
    <row r="59" spans="1:13" s="5" customFormat="1" ht="20.100000000000001" customHeight="1" x14ac:dyDescent="0.2">
      <c r="A59" s="1"/>
      <c r="B59" s="1"/>
      <c r="C59" s="1"/>
      <c r="D59" s="1"/>
      <c r="E59" s="36"/>
      <c r="F59" s="1"/>
      <c r="G59" s="1"/>
      <c r="H59" s="1"/>
      <c r="I59" s="1"/>
      <c r="J59" s="1"/>
      <c r="K59" s="1"/>
      <c r="L59" s="1"/>
      <c r="M59" s="1"/>
    </row>
    <row r="60" spans="1:13" ht="20.100000000000001" customHeight="1" x14ac:dyDescent="0.2">
      <c r="E60" s="36"/>
    </row>
  </sheetData>
  <sheetProtection password="9A3C" sheet="1" objects="1" scenarios="1" selectLockedCells="1"/>
  <mergeCells count="69">
    <mergeCell ref="A34:B34"/>
    <mergeCell ref="A35:B35"/>
    <mergeCell ref="C50:D50"/>
    <mergeCell ref="C49:D49"/>
    <mergeCell ref="A46:B46"/>
    <mergeCell ref="A48:B48"/>
    <mergeCell ref="C47:D47"/>
    <mergeCell ref="A47:B47"/>
    <mergeCell ref="A36:B43"/>
    <mergeCell ref="A28:B28"/>
    <mergeCell ref="A29:B29"/>
    <mergeCell ref="A31:B32"/>
    <mergeCell ref="A27:B27"/>
    <mergeCell ref="C27:D27"/>
    <mergeCell ref="C28:D28"/>
    <mergeCell ref="A53:B54"/>
    <mergeCell ref="C29:D29"/>
    <mergeCell ref="C30:D30"/>
    <mergeCell ref="C31:D31"/>
    <mergeCell ref="C34:D34"/>
    <mergeCell ref="C32:D32"/>
    <mergeCell ref="A51:B51"/>
    <mergeCell ref="A52:B52"/>
    <mergeCell ref="A49:B49"/>
    <mergeCell ref="A50:B50"/>
    <mergeCell ref="A44:B44"/>
    <mergeCell ref="C44:D44"/>
    <mergeCell ref="A30:B30"/>
    <mergeCell ref="C35:D35"/>
    <mergeCell ref="C33:D33"/>
    <mergeCell ref="A33:B33"/>
    <mergeCell ref="A21:B22"/>
    <mergeCell ref="A23:B24"/>
    <mergeCell ref="A25:B25"/>
    <mergeCell ref="A26:B26"/>
    <mergeCell ref="C20:D20"/>
    <mergeCell ref="C22:D22"/>
    <mergeCell ref="C23:D23"/>
    <mergeCell ref="C21:D21"/>
    <mergeCell ref="C26:D26"/>
    <mergeCell ref="C24:D24"/>
    <mergeCell ref="A20:B20"/>
    <mergeCell ref="C25:D25"/>
    <mergeCell ref="F54:M54"/>
    <mergeCell ref="C13:D13"/>
    <mergeCell ref="C14:D14"/>
    <mergeCell ref="C15:D15"/>
    <mergeCell ref="C16:D16"/>
    <mergeCell ref="C17:D17"/>
    <mergeCell ref="C18:D19"/>
    <mergeCell ref="C51:D51"/>
    <mergeCell ref="C52:D52"/>
    <mergeCell ref="C48:D48"/>
    <mergeCell ref="C46:D46"/>
    <mergeCell ref="C53:D54"/>
    <mergeCell ref="C36:D41"/>
    <mergeCell ref="C42:D43"/>
    <mergeCell ref="A10:M10"/>
    <mergeCell ref="H12:M12"/>
    <mergeCell ref="H14:M14"/>
    <mergeCell ref="F18:G18"/>
    <mergeCell ref="F17:G17"/>
    <mergeCell ref="A12:D12"/>
    <mergeCell ref="A18:B19"/>
    <mergeCell ref="A13:B13"/>
    <mergeCell ref="A14:B14"/>
    <mergeCell ref="A15:B15"/>
    <mergeCell ref="A16:B16"/>
    <mergeCell ref="A17:B17"/>
  </mergeCells>
  <phoneticPr fontId="5" type="noConversion"/>
  <conditionalFormatting sqref="J16">
    <cfRule type="cellIs" dxfId="23" priority="1" stopIfTrue="1" operator="greaterThan">
      <formula>2</formula>
    </cfRule>
    <cfRule type="cellIs" dxfId="22" priority="2" stopIfTrue="1" operator="lessThan">
      <formula>1</formula>
    </cfRule>
  </conditionalFormatting>
  <conditionalFormatting sqref="M16 M18">
    <cfRule type="cellIs" dxfId="21" priority="3" stopIfTrue="1" operator="greaterThan">
      <formula>73</formula>
    </cfRule>
    <cfRule type="cellIs" dxfId="20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4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3" name="Check Box 10">
              <controlPr locked="0" defaultSize="0" autoFill="0" autoLine="0" autoPict="0">
                <anchor moveWithCells="1">
                  <from>
                    <xdr:col>9</xdr:col>
                    <xdr:colOff>828675</xdr:colOff>
                    <xdr:row>19</xdr:row>
                    <xdr:rowOff>66675</xdr:rowOff>
                  </from>
                  <to>
                    <xdr:col>9</xdr:col>
                    <xdr:colOff>1104900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4" name="Check Box 11">
              <controlPr locked="0" defaultSize="0" autoFill="0" autoLine="0" autoPict="0">
                <anchor moveWithCells="1">
                  <from>
                    <xdr:col>9</xdr:col>
                    <xdr:colOff>828675</xdr:colOff>
                    <xdr:row>21</xdr:row>
                    <xdr:rowOff>66675</xdr:rowOff>
                  </from>
                  <to>
                    <xdr:col>9</xdr:col>
                    <xdr:colOff>1104900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5" name="Check Box 16">
              <controlPr locked="0" defaultSize="0" autoFill="0" autoLine="0" autoPict="0">
                <anchor moveWithCells="1">
                  <from>
                    <xdr:col>9</xdr:col>
                    <xdr:colOff>847725</xdr:colOff>
                    <xdr:row>22</xdr:row>
                    <xdr:rowOff>228600</xdr:rowOff>
                  </from>
                  <to>
                    <xdr:col>9</xdr:col>
                    <xdr:colOff>1114425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M56"/>
  <sheetViews>
    <sheetView showGridLines="0" zoomScale="70" zoomScaleNormal="70" zoomScalePageLayoutView="70" workbookViewId="0">
      <selection activeCell="H12" sqref="H12:M12"/>
    </sheetView>
  </sheetViews>
  <sheetFormatPr baseColWidth="10" defaultColWidth="8.85546875" defaultRowHeight="12.75" x14ac:dyDescent="0.2"/>
  <cols>
    <col min="1" max="1" width="35" style="1" customWidth="1"/>
    <col min="2" max="2" width="12.42578125" style="1" customWidth="1"/>
    <col min="3" max="3" width="22.7109375" style="1" customWidth="1"/>
    <col min="4" max="4" width="25.140625" style="1" customWidth="1"/>
    <col min="5" max="5" width="1.42578125" style="8" customWidth="1"/>
    <col min="6" max="7" width="16.7109375" style="1" customWidth="1"/>
    <col min="8" max="8" width="8.1406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158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0.100000000000001" customHeight="1" x14ac:dyDescent="0.35">
      <c r="A12" s="206" t="s">
        <v>172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168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151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136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137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138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0.100000000000001" customHeight="1" x14ac:dyDescent="0.2">
      <c r="A19" s="194"/>
      <c r="B19" s="194"/>
      <c r="C19" s="211"/>
      <c r="D19" s="211"/>
      <c r="E19" s="36"/>
      <c r="F19" s="35"/>
      <c r="G19" s="37"/>
      <c r="H19" s="38"/>
      <c r="I19" s="35"/>
      <c r="J19" s="35" t="s">
        <v>4</v>
      </c>
      <c r="K19" s="35" t="s">
        <v>4</v>
      </c>
      <c r="L19" s="35" t="s">
        <v>4</v>
      </c>
      <c r="M19" s="35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35"/>
      <c r="G20" s="35"/>
      <c r="H20" s="35"/>
      <c r="I20" s="87" t="b">
        <v>1</v>
      </c>
      <c r="J20" s="35"/>
      <c r="K20" s="40" t="s">
        <v>83</v>
      </c>
      <c r="L20" s="35"/>
      <c r="M20" s="35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35"/>
      <c r="G21" s="35"/>
      <c r="H21" s="35"/>
      <c r="I21" s="88"/>
      <c r="J21" s="35"/>
      <c r="K21" s="40"/>
      <c r="L21" s="35"/>
      <c r="M21" s="39"/>
    </row>
    <row r="22" spans="1:13" s="7" customFormat="1" ht="20.100000000000001" customHeight="1" x14ac:dyDescent="0.2">
      <c r="A22" s="194"/>
      <c r="B22" s="194"/>
      <c r="C22" s="199" t="s">
        <v>189</v>
      </c>
      <c r="D22" s="199"/>
      <c r="E22" s="33"/>
      <c r="F22" s="26"/>
      <c r="G22" s="26"/>
      <c r="H22" s="26"/>
      <c r="I22" s="87" t="b">
        <v>1</v>
      </c>
      <c r="J22" s="26"/>
      <c r="K22" s="41" t="s">
        <v>84</v>
      </c>
      <c r="L22" s="26"/>
      <c r="M22" s="2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26"/>
      <c r="G23" s="26"/>
      <c r="H23" s="26"/>
      <c r="I23" s="26"/>
      <c r="J23" s="39"/>
      <c r="K23" s="41"/>
      <c r="L23" s="26"/>
      <c r="M23" s="26"/>
    </row>
    <row r="24" spans="1:13" s="7" customFormat="1" ht="20.100000000000001" customHeight="1" x14ac:dyDescent="0.2">
      <c r="A24" s="193"/>
      <c r="B24" s="193"/>
      <c r="C24" s="231" t="s">
        <v>189</v>
      </c>
      <c r="D24" s="231"/>
      <c r="E24" s="33"/>
      <c r="F24" s="26"/>
      <c r="G24" s="42" t="s">
        <v>4</v>
      </c>
      <c r="H24" s="26"/>
      <c r="I24" s="26"/>
      <c r="J24" s="26"/>
      <c r="K24" s="26"/>
      <c r="L24" s="26"/>
      <c r="M24" s="26"/>
    </row>
    <row r="25" spans="1:13" s="3" customFormat="1" ht="20.100000000000001" customHeight="1" x14ac:dyDescent="0.25">
      <c r="A25" s="194" t="s">
        <v>100</v>
      </c>
      <c r="B25" s="194"/>
      <c r="C25" s="198" t="s">
        <v>159</v>
      </c>
      <c r="D25" s="198"/>
      <c r="E25" s="33"/>
      <c r="F25" s="43" t="s">
        <v>91</v>
      </c>
      <c r="G25" s="44"/>
      <c r="H25" s="145" t="s">
        <v>85</v>
      </c>
      <c r="I25" s="45" t="s">
        <v>86</v>
      </c>
      <c r="J25" s="45" t="s">
        <v>87</v>
      </c>
      <c r="K25" s="45" t="s">
        <v>88</v>
      </c>
      <c r="L25" s="45" t="s">
        <v>89</v>
      </c>
      <c r="M25" s="46" t="s">
        <v>90</v>
      </c>
    </row>
    <row r="26" spans="1:13" s="4" customFormat="1" ht="20.100000000000001" customHeight="1" x14ac:dyDescent="0.2">
      <c r="A26" s="193" t="s">
        <v>101</v>
      </c>
      <c r="B26" s="193"/>
      <c r="C26" s="195" t="s">
        <v>130</v>
      </c>
      <c r="D26" s="195"/>
      <c r="E26" s="33"/>
      <c r="F26" s="47" t="s">
        <v>176</v>
      </c>
      <c r="G26" s="48"/>
      <c r="H26" s="129" t="s">
        <v>177</v>
      </c>
      <c r="I26" s="48">
        <v>1000</v>
      </c>
      <c r="J26" s="48">
        <v>2000</v>
      </c>
      <c r="K26" s="48">
        <v>5000</v>
      </c>
      <c r="L26" s="48">
        <v>10000</v>
      </c>
      <c r="M26" s="49">
        <v>20000</v>
      </c>
    </row>
    <row r="27" spans="1:13" s="4" customFormat="1" ht="20.100000000000001" customHeight="1" x14ac:dyDescent="0.2">
      <c r="A27" s="194" t="s">
        <v>102</v>
      </c>
      <c r="B27" s="194"/>
      <c r="C27" s="198" t="s">
        <v>131</v>
      </c>
      <c r="D27" s="198"/>
      <c r="E27" s="33"/>
      <c r="F27" s="50" t="s">
        <v>175</v>
      </c>
      <c r="G27" s="51"/>
      <c r="H27" s="131" t="s">
        <v>177</v>
      </c>
      <c r="I27" s="52">
        <v>2000</v>
      </c>
      <c r="J27" s="52">
        <v>3000</v>
      </c>
      <c r="K27" s="52">
        <v>5000</v>
      </c>
      <c r="L27" s="52">
        <v>10000</v>
      </c>
      <c r="M27" s="53">
        <v>20000</v>
      </c>
    </row>
    <row r="28" spans="1:13" s="4" customFormat="1" ht="20.100000000000001" customHeight="1" x14ac:dyDescent="0.2">
      <c r="A28" s="193" t="s">
        <v>103</v>
      </c>
      <c r="B28" s="193"/>
      <c r="C28" s="195" t="s">
        <v>139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198" t="s">
        <v>190</v>
      </c>
      <c r="D29" s="198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20.100000000000001" customHeight="1" x14ac:dyDescent="0.2">
      <c r="A30" s="193" t="s">
        <v>105</v>
      </c>
      <c r="B30" s="193"/>
      <c r="C30" s="268" t="s">
        <v>170</v>
      </c>
      <c r="D30" s="269"/>
      <c r="E30" s="33"/>
      <c r="F30" s="56" t="s">
        <v>27</v>
      </c>
      <c r="G30" s="57"/>
      <c r="H30" s="141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140</v>
      </c>
      <c r="D31" s="210"/>
      <c r="E31" s="33"/>
      <c r="F31" s="25" t="s">
        <v>15</v>
      </c>
      <c r="G31" s="59"/>
      <c r="H31" s="130" t="s">
        <v>177</v>
      </c>
      <c r="I31" s="60">
        <f>VLOOKUP($M$16,Tablas!$A$420:$H$443,4,TRUE)</f>
        <v>5045</v>
      </c>
      <c r="J31" s="60">
        <f>VLOOKUP($M$16,Tablas!$A$420:$H$443,5,TRUE)</f>
        <v>3876</v>
      </c>
      <c r="K31" s="60">
        <f>VLOOKUP($M$16,Tablas!$A$420:$H$443,6,TRUE)</f>
        <v>2993</v>
      </c>
      <c r="L31" s="60">
        <f>VLOOKUP($M$16,Tablas!$A$420:$H$443,7,TRUE)</f>
        <v>2348</v>
      </c>
      <c r="M31" s="59">
        <f>VLOOKUP($M$16,Tablas!$A$420:$H$443,8,TRUE)</f>
        <v>1760</v>
      </c>
    </row>
    <row r="32" spans="1:13" s="4" customFormat="1" ht="20.100000000000001" customHeight="1" x14ac:dyDescent="0.2">
      <c r="A32" s="194"/>
      <c r="B32" s="194"/>
      <c r="C32" s="199" t="s">
        <v>141</v>
      </c>
      <c r="D32" s="199"/>
      <c r="E32" s="61"/>
      <c r="F32" s="62" t="s">
        <v>16</v>
      </c>
      <c r="G32" s="63"/>
      <c r="H32" s="134" t="s">
        <v>177</v>
      </c>
      <c r="I32" s="64">
        <f>IF($J$16=1,0,(VLOOKUP($M$18,Tablas!$A$420:$H$443,4,TRUE)))</f>
        <v>0</v>
      </c>
      <c r="J32" s="64">
        <f>IF($J$16=1,0,(VLOOKUP($M$18,Tablas!$A$420:$H$443,5,TRUE)))</f>
        <v>0</v>
      </c>
      <c r="K32" s="64">
        <f>IF($J$16=1,0,(VLOOKUP($M$18,Tablas!$A$420:$H$443,6,TRUE)))</f>
        <v>0</v>
      </c>
      <c r="L32" s="64">
        <f>IF($J$16=1,0,(VLOOKUP($M$18,Tablas!$A$420:$H$443,7,TRUE)))</f>
        <v>0</v>
      </c>
      <c r="M32" s="63">
        <f>IF($J$16=1,0,(VLOOKUP($M$18,Tablas!$A$420:$H$443,8,TRUE)))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132</v>
      </c>
      <c r="D33" s="195"/>
      <c r="E33" s="33"/>
      <c r="F33" s="65" t="s">
        <v>17</v>
      </c>
      <c r="G33" s="66"/>
      <c r="H33" s="134" t="s">
        <v>177</v>
      </c>
      <c r="I33" s="67">
        <f>IF($J$18=0,0,(VLOOKUP($J$18,Tablas!$A$444:$H$446,4,TRUE)))</f>
        <v>3757</v>
      </c>
      <c r="J33" s="67">
        <f>IF($J$18=0,0,(VLOOKUP($J$18,Tablas!$A$444:$H$446,5,TRUE)))</f>
        <v>2580</v>
      </c>
      <c r="K33" s="67">
        <f>IF($J$18=0,0,(VLOOKUP($J$18,Tablas!$A$444:$H$446,6,TRUE)))</f>
        <v>2048</v>
      </c>
      <c r="L33" s="67">
        <f>IF($J$18=0,0,(VLOOKUP($J$18,Tablas!$A$444:$H$446,7,TRUE)))</f>
        <v>1803</v>
      </c>
      <c r="M33" s="66">
        <f>IF($J$18=0,0,(VLOOKUP($J$18,Tablas!$A$444:$H$446,8,TRUE)))</f>
        <v>1269</v>
      </c>
    </row>
    <row r="34" spans="1:13" s="4" customFormat="1" ht="20.100000000000001" customHeight="1" x14ac:dyDescent="0.2">
      <c r="A34" s="194" t="s">
        <v>107</v>
      </c>
      <c r="B34" s="194"/>
      <c r="C34" s="197" t="s">
        <v>161</v>
      </c>
      <c r="D34" s="198"/>
      <c r="E34" s="33"/>
      <c r="F34" s="62" t="s">
        <v>20</v>
      </c>
      <c r="G34" s="63"/>
      <c r="H34" s="134" t="s">
        <v>177</v>
      </c>
      <c r="I34" s="64">
        <f>+IF($I$20=FALSE,0,Tablas!D$447)</f>
        <v>225</v>
      </c>
      <c r="J34" s="64">
        <f>+IF($I$20=FALSE,0,Tablas!E$447)</f>
        <v>225</v>
      </c>
      <c r="K34" s="64">
        <f>+IF($I$20=FALSE,0,Tablas!F$447)</f>
        <v>225</v>
      </c>
      <c r="L34" s="64">
        <f>+IF($I$20=FALSE,0,Tablas!G$447)</f>
        <v>225</v>
      </c>
      <c r="M34" s="63">
        <f>+IF($I$20=FALSE,0,Tablas!H$447)</f>
        <v>225</v>
      </c>
    </row>
    <row r="35" spans="1:13" s="4" customFormat="1" ht="20.100000000000001" customHeight="1" x14ac:dyDescent="0.2">
      <c r="A35" s="193" t="s">
        <v>108</v>
      </c>
      <c r="B35" s="193"/>
      <c r="C35" s="196">
        <v>1</v>
      </c>
      <c r="D35" s="195"/>
      <c r="E35" s="33"/>
      <c r="F35" s="62" t="s">
        <v>23</v>
      </c>
      <c r="G35" s="63"/>
      <c r="H35" s="134" t="s">
        <v>177</v>
      </c>
      <c r="I35" s="64">
        <f>IF($I$22=FALSE,0,Tablas!D$448)</f>
        <v>300</v>
      </c>
      <c r="J35" s="64">
        <f>IF($I$22=FALSE,0,Tablas!E$448)</f>
        <v>300</v>
      </c>
      <c r="K35" s="64">
        <f>IF($I$22=FALSE,0,Tablas!F$448)</f>
        <v>300</v>
      </c>
      <c r="L35" s="64">
        <f>IF($I$22=FALSE,0,Tablas!G$448)</f>
        <v>300</v>
      </c>
      <c r="M35" s="63">
        <f>IF($I$22=FALSE,0,Tablas!H$448)</f>
        <v>300</v>
      </c>
    </row>
    <row r="36" spans="1:13" s="5" customFormat="1" ht="20.100000000000001" customHeight="1" x14ac:dyDescent="0.2">
      <c r="A36" s="194" t="s">
        <v>109</v>
      </c>
      <c r="B36" s="194"/>
      <c r="C36" s="197" t="s">
        <v>171</v>
      </c>
      <c r="D36" s="198"/>
      <c r="E36" s="33"/>
      <c r="F36" s="68" t="s">
        <v>19</v>
      </c>
      <c r="G36" s="69"/>
      <c r="H36" s="130" t="s">
        <v>177</v>
      </c>
      <c r="I36" s="70">
        <f t="shared" ref="I36:M36" si="0">SUM(I31:I35)</f>
        <v>9327</v>
      </c>
      <c r="J36" s="70">
        <f t="shared" si="0"/>
        <v>6981</v>
      </c>
      <c r="K36" s="70">
        <f t="shared" si="0"/>
        <v>5566</v>
      </c>
      <c r="L36" s="70">
        <f t="shared" si="0"/>
        <v>4676</v>
      </c>
      <c r="M36" s="69">
        <f t="shared" si="0"/>
        <v>3554</v>
      </c>
    </row>
    <row r="37" spans="1:13" s="4" customFormat="1" ht="20.100000000000001" customHeight="1" x14ac:dyDescent="0.2">
      <c r="A37" s="284" t="s">
        <v>165</v>
      </c>
      <c r="B37" s="285"/>
      <c r="C37" s="286" t="s">
        <v>169</v>
      </c>
      <c r="D37" s="287"/>
      <c r="E37" s="33"/>
      <c r="F37" s="62" t="s">
        <v>21</v>
      </c>
      <c r="G37" s="63"/>
      <c r="H37" s="134" t="s">
        <v>177</v>
      </c>
      <c r="I37" s="64">
        <v>75</v>
      </c>
      <c r="J37" s="64">
        <v>75</v>
      </c>
      <c r="K37" s="64">
        <v>75</v>
      </c>
      <c r="L37" s="64">
        <v>75</v>
      </c>
      <c r="M37" s="63">
        <v>75</v>
      </c>
    </row>
    <row r="38" spans="1:13" s="4" customFormat="1" ht="20.100000000000001" customHeight="1" x14ac:dyDescent="0.2">
      <c r="A38" s="123"/>
      <c r="B38" s="124"/>
      <c r="C38" s="127"/>
      <c r="D38" s="128"/>
      <c r="E38" s="71"/>
      <c r="F38" s="73" t="s">
        <v>18</v>
      </c>
      <c r="G38" s="74"/>
      <c r="H38" s="140" t="s">
        <v>177</v>
      </c>
      <c r="I38" s="75">
        <f>SUM(I36:I37)</f>
        <v>9402</v>
      </c>
      <c r="J38" s="75">
        <f>SUM(J36:J37)</f>
        <v>7056</v>
      </c>
      <c r="K38" s="75">
        <f>SUM(K36:K37)</f>
        <v>5641</v>
      </c>
      <c r="L38" s="75">
        <f>SUM(L36:L37)</f>
        <v>4751</v>
      </c>
      <c r="M38" s="74">
        <f>SUM(M36:M37)</f>
        <v>3629</v>
      </c>
    </row>
    <row r="39" spans="1:13" s="4" customFormat="1" ht="20.100000000000001" customHeight="1" x14ac:dyDescent="0.2">
      <c r="A39" s="194" t="s">
        <v>110</v>
      </c>
      <c r="B39" s="194"/>
      <c r="C39" s="240" t="s">
        <v>180</v>
      </c>
      <c r="D39" s="241"/>
      <c r="E39" s="71"/>
      <c r="F39" s="76"/>
      <c r="G39" s="76"/>
      <c r="H39" s="135"/>
      <c r="I39" s="76"/>
      <c r="J39" s="76"/>
      <c r="K39" s="76"/>
      <c r="L39" s="76"/>
      <c r="M39" s="55"/>
    </row>
    <row r="40" spans="1:13" s="4" customFormat="1" ht="20.100000000000001" customHeight="1" x14ac:dyDescent="0.2">
      <c r="A40" s="220" t="s">
        <v>134</v>
      </c>
      <c r="B40" s="220"/>
      <c r="C40" s="282" t="s">
        <v>180</v>
      </c>
      <c r="D40" s="283"/>
      <c r="E40" s="72"/>
      <c r="F40" s="56" t="s">
        <v>26</v>
      </c>
      <c r="G40" s="57"/>
      <c r="H40" s="142"/>
      <c r="I40" s="57"/>
      <c r="J40" s="57"/>
      <c r="K40" s="57"/>
      <c r="L40" s="57"/>
      <c r="M40" s="58"/>
    </row>
    <row r="41" spans="1:13" s="5" customFormat="1" ht="20.100000000000001" customHeight="1" x14ac:dyDescent="0.2">
      <c r="A41" s="194" t="s">
        <v>181</v>
      </c>
      <c r="B41" s="194"/>
      <c r="C41" s="240" t="s">
        <v>180</v>
      </c>
      <c r="D41" s="241"/>
      <c r="E41" s="72"/>
      <c r="F41" s="77" t="s">
        <v>15</v>
      </c>
      <c r="G41" s="78"/>
      <c r="H41" s="136" t="s">
        <v>177</v>
      </c>
      <c r="I41" s="64">
        <f>VLOOKUP($M$16,Tablas!$A$453:$H$476,4,TRUE)</f>
        <v>2673.85</v>
      </c>
      <c r="J41" s="64">
        <f>VLOOKUP($M$16,Tablas!$A$453:$H$476,5,TRUE)</f>
        <v>2054.2800000000002</v>
      </c>
      <c r="K41" s="64">
        <f>VLOOKUP($M$16,Tablas!$A$453:$H$476,6,TRUE)</f>
        <v>1586.2900000000002</v>
      </c>
      <c r="L41" s="64">
        <f>VLOOKUP($M$16,Tablas!$A$453:$H$476,7,TRUE)</f>
        <v>1244.44</v>
      </c>
      <c r="M41" s="63">
        <f>VLOOKUP($M$16,Tablas!$A$453:$H$476,8,TRUE)</f>
        <v>932.80000000000007</v>
      </c>
    </row>
    <row r="42" spans="1:13" s="4" customFormat="1" ht="20.100000000000001" customHeight="1" x14ac:dyDescent="0.2">
      <c r="A42" s="220" t="s">
        <v>112</v>
      </c>
      <c r="B42" s="220"/>
      <c r="C42" s="281">
        <v>1</v>
      </c>
      <c r="D42" s="190"/>
      <c r="E42" s="72"/>
      <c r="F42" s="62" t="s">
        <v>16</v>
      </c>
      <c r="G42" s="63"/>
      <c r="H42" s="136" t="s">
        <v>177</v>
      </c>
      <c r="I42" s="64">
        <f>IF($J$16=1,0,(VLOOKUP($M$18,Tablas!$A$453:$H$476,4,TRUE)))</f>
        <v>0</v>
      </c>
      <c r="J42" s="64">
        <f>IF($J$16=1,0,(VLOOKUP($M$18,Tablas!$A$453:$H$476,5,TRUE)))</f>
        <v>0</v>
      </c>
      <c r="K42" s="64">
        <f>IF($J$16=1,0,(VLOOKUP($M$18,Tablas!$A$453:$H$476,6,TRUE)))</f>
        <v>0</v>
      </c>
      <c r="L42" s="64">
        <f>IF($J$16=1,0,(VLOOKUP($M$18,Tablas!$A$453:$H$476,7,TRUE)))</f>
        <v>0</v>
      </c>
      <c r="M42" s="63">
        <f>IF($J$16=1,0,(VLOOKUP($M$18,Tablas!$A$453:$H$476,8,TRUE)))</f>
        <v>0</v>
      </c>
    </row>
    <row r="43" spans="1:13" s="5" customFormat="1" ht="20.100000000000001" customHeight="1" x14ac:dyDescent="0.2">
      <c r="A43" s="194" t="s">
        <v>113</v>
      </c>
      <c r="B43" s="194"/>
      <c r="C43" s="240" t="s">
        <v>142</v>
      </c>
      <c r="D43" s="241"/>
      <c r="E43" s="72"/>
      <c r="F43" s="62" t="s">
        <v>17</v>
      </c>
      <c r="G43" s="63"/>
      <c r="H43" s="136" t="s">
        <v>177</v>
      </c>
      <c r="I43" s="64">
        <f>IF($J$18=0,0,(VLOOKUP($J$18,Tablas!$A$477:$H$479,4,TRUE)))</f>
        <v>1991.21</v>
      </c>
      <c r="J43" s="64">
        <f>IF($J$18=0,0,(VLOOKUP($J$18,Tablas!$A$477:$H$479,5,TRUE)))</f>
        <v>1367.4</v>
      </c>
      <c r="K43" s="64">
        <f>IF($J$18=0,0,(VLOOKUP($J$18,Tablas!$A$477:$H$479,6,TRUE)))</f>
        <v>1085.44</v>
      </c>
      <c r="L43" s="64">
        <f>IF($J$18=0,0,(VLOOKUP($J$18,Tablas!$A$477:$H$479,7,TRUE)))</f>
        <v>955.59</v>
      </c>
      <c r="M43" s="63">
        <f>IF($J$18=0,0,(VLOOKUP($J$18,Tablas!$A$477:$H$479,8,TRUE)))</f>
        <v>672.57</v>
      </c>
    </row>
    <row r="44" spans="1:13" s="4" customFormat="1" ht="20.100000000000001" customHeight="1" x14ac:dyDescent="0.2">
      <c r="A44" s="220" t="s">
        <v>114</v>
      </c>
      <c r="B44" s="220"/>
      <c r="C44" s="281" t="s">
        <v>164</v>
      </c>
      <c r="D44" s="190"/>
      <c r="E44" s="33"/>
      <c r="F44" s="62" t="s">
        <v>20</v>
      </c>
      <c r="G44" s="63"/>
      <c r="H44" s="136" t="s">
        <v>177</v>
      </c>
      <c r="I44" s="64">
        <f>+IF($I$20=FALSE,0,Tablas!D$480)</f>
        <v>119.25</v>
      </c>
      <c r="J44" s="64">
        <f>+IF($I$20=FALSE,0,Tablas!E$480)</f>
        <v>119.25</v>
      </c>
      <c r="K44" s="64">
        <f>+IF($I$20=FALSE,0,Tablas!F$480)</f>
        <v>119.25</v>
      </c>
      <c r="L44" s="64">
        <f>+IF($I$20=FALSE,0,Tablas!G$480)</f>
        <v>119.25</v>
      </c>
      <c r="M44" s="63">
        <f>+IF($I$20=FALSE,0,Tablas!H$480)</f>
        <v>119.25</v>
      </c>
    </row>
    <row r="45" spans="1:13" s="4" customFormat="1" ht="20.100000000000001" customHeight="1" x14ac:dyDescent="0.2">
      <c r="A45" s="194" t="s">
        <v>162</v>
      </c>
      <c r="B45" s="194"/>
      <c r="C45" s="240" t="s">
        <v>163</v>
      </c>
      <c r="D45" s="241"/>
      <c r="E45" s="33"/>
      <c r="F45" s="62" t="s">
        <v>23</v>
      </c>
      <c r="G45" s="63"/>
      <c r="H45" s="136" t="s">
        <v>177</v>
      </c>
      <c r="I45" s="64">
        <f>IF($I$22=FALSE,0,Tablas!D$481)</f>
        <v>159</v>
      </c>
      <c r="J45" s="64">
        <f>IF($I$22=FALSE,0,Tablas!E$481)</f>
        <v>159</v>
      </c>
      <c r="K45" s="64">
        <f>IF($I$22=FALSE,0,Tablas!F$481)</f>
        <v>159</v>
      </c>
      <c r="L45" s="64">
        <f>IF($I$22=FALSE,0,Tablas!G$481)</f>
        <v>159</v>
      </c>
      <c r="M45" s="63">
        <f>IF($I$22=FALSE,0,Tablas!H$481)</f>
        <v>159</v>
      </c>
    </row>
    <row r="46" spans="1:13" s="4" customFormat="1" ht="20.100000000000001" customHeight="1" x14ac:dyDescent="0.2">
      <c r="A46" s="221" t="s">
        <v>154</v>
      </c>
      <c r="B46" s="222"/>
      <c r="C46" s="252" t="s">
        <v>155</v>
      </c>
      <c r="D46" s="253"/>
      <c r="E46" s="33"/>
      <c r="F46" s="68" t="s">
        <v>19</v>
      </c>
      <c r="G46" s="69"/>
      <c r="H46" s="130" t="s">
        <v>177</v>
      </c>
      <c r="I46" s="70">
        <f t="shared" ref="I46:M46" si="1">SUM(I41:I45)</f>
        <v>4943.3099999999995</v>
      </c>
      <c r="J46" s="70">
        <f t="shared" si="1"/>
        <v>3699.9300000000003</v>
      </c>
      <c r="K46" s="70">
        <f t="shared" si="1"/>
        <v>2949.9800000000005</v>
      </c>
      <c r="L46" s="70">
        <f t="shared" si="1"/>
        <v>2478.2800000000002</v>
      </c>
      <c r="M46" s="69">
        <f t="shared" si="1"/>
        <v>1883.6200000000001</v>
      </c>
    </row>
    <row r="47" spans="1:13" s="4" customFormat="1" ht="20.100000000000001" customHeight="1" x14ac:dyDescent="0.2">
      <c r="A47" s="266"/>
      <c r="B47" s="267"/>
      <c r="C47" s="254"/>
      <c r="D47" s="255"/>
      <c r="E47" s="33"/>
      <c r="F47" s="62" t="s">
        <v>21</v>
      </c>
      <c r="G47" s="63"/>
      <c r="H47" s="134" t="s">
        <v>177</v>
      </c>
      <c r="I47" s="64">
        <v>75</v>
      </c>
      <c r="J47" s="64">
        <v>75</v>
      </c>
      <c r="K47" s="64">
        <v>75</v>
      </c>
      <c r="L47" s="64">
        <v>75</v>
      </c>
      <c r="M47" s="63">
        <v>75</v>
      </c>
    </row>
    <row r="48" spans="1:13" s="4" customFormat="1" ht="20.100000000000001" customHeight="1" x14ac:dyDescent="0.2">
      <c r="A48" s="1"/>
      <c r="B48" s="1"/>
      <c r="C48" s="1"/>
      <c r="D48" s="1"/>
      <c r="E48" s="33"/>
      <c r="F48" s="80" t="s">
        <v>24</v>
      </c>
      <c r="G48" s="81"/>
      <c r="H48" s="138" t="s">
        <v>177</v>
      </c>
      <c r="I48" s="82">
        <f>SUM(I46:I47)</f>
        <v>5018.3099999999995</v>
      </c>
      <c r="J48" s="82">
        <f>SUM(J46:J47)</f>
        <v>3774.9300000000003</v>
      </c>
      <c r="K48" s="82">
        <f>SUM(K46:K47)</f>
        <v>3024.9800000000005</v>
      </c>
      <c r="L48" s="82">
        <f>SUM(L46:L47)</f>
        <v>2553.2800000000002</v>
      </c>
      <c r="M48" s="81">
        <f>SUM(M46:M47)</f>
        <v>1958.6200000000001</v>
      </c>
    </row>
    <row r="49" spans="1:13" s="5" customFormat="1" ht="20.100000000000001" customHeight="1" x14ac:dyDescent="0.2">
      <c r="A49" s="1"/>
      <c r="B49" s="1" t="s">
        <v>4</v>
      </c>
      <c r="C49" s="1"/>
      <c r="D49" s="1"/>
      <c r="E49" s="33"/>
      <c r="F49" s="83" t="s">
        <v>25</v>
      </c>
      <c r="G49" s="84"/>
      <c r="H49" s="139" t="s">
        <v>177</v>
      </c>
      <c r="I49" s="85">
        <f>I46</f>
        <v>4943.3099999999995</v>
      </c>
      <c r="J49" s="85">
        <f t="shared" ref="J49:M49" si="2">J46</f>
        <v>3699.9300000000003</v>
      </c>
      <c r="K49" s="85">
        <f t="shared" si="2"/>
        <v>2949.9800000000005</v>
      </c>
      <c r="L49" s="85">
        <f t="shared" si="2"/>
        <v>2478.2800000000002</v>
      </c>
      <c r="M49" s="85">
        <f t="shared" si="2"/>
        <v>1883.6200000000001</v>
      </c>
    </row>
    <row r="50" spans="1:13" s="4" customFormat="1" ht="20.100000000000001" customHeight="1" x14ac:dyDescent="0.25">
      <c r="A50" s="1"/>
      <c r="B50" s="1" t="s">
        <v>4</v>
      </c>
      <c r="C50" s="1"/>
      <c r="D50" s="1"/>
      <c r="E50" s="33"/>
      <c r="F50" s="207" t="s">
        <v>184</v>
      </c>
      <c r="G50" s="208"/>
      <c r="H50" s="208"/>
      <c r="I50" s="208"/>
      <c r="J50" s="208"/>
      <c r="K50" s="208"/>
      <c r="L50" s="208"/>
      <c r="M50" s="209"/>
    </row>
    <row r="51" spans="1:13" s="4" customFormat="1" ht="20.100000000000001" customHeight="1" x14ac:dyDescent="0.2">
      <c r="A51" s="1"/>
      <c r="B51" s="1"/>
      <c r="C51" s="1"/>
      <c r="D51" s="1"/>
      <c r="E51" s="71"/>
      <c r="F51" s="1"/>
      <c r="G51" s="1"/>
      <c r="H51" s="1"/>
      <c r="I51" s="1"/>
      <c r="J51" s="1"/>
      <c r="K51" s="1"/>
      <c r="L51" s="1"/>
      <c r="M51" s="1"/>
    </row>
    <row r="52" spans="1:13" s="4" customFormat="1" ht="20.100000000000001" customHeight="1" x14ac:dyDescent="0.2">
      <c r="A52" s="1"/>
      <c r="B52" s="1"/>
      <c r="C52" s="1"/>
      <c r="D52" s="1"/>
      <c r="E52" s="71"/>
      <c r="F52" s="1"/>
      <c r="G52" s="1"/>
      <c r="H52" s="1"/>
      <c r="I52" s="1"/>
      <c r="J52" s="1"/>
      <c r="K52" s="1"/>
      <c r="L52" s="1"/>
      <c r="M52" s="1"/>
    </row>
    <row r="53" spans="1:13" s="4" customFormat="1" ht="20.100000000000001" hidden="1" customHeight="1" x14ac:dyDescent="0.2">
      <c r="A53" s="1"/>
      <c r="B53" s="1"/>
      <c r="C53" s="1"/>
      <c r="D53" s="1"/>
      <c r="E53" s="79"/>
      <c r="F53" s="1"/>
      <c r="G53" s="1"/>
      <c r="H53" s="1"/>
      <c r="I53" s="1"/>
      <c r="J53" s="1"/>
      <c r="K53" s="1"/>
      <c r="L53" s="1"/>
      <c r="M53" s="1"/>
    </row>
    <row r="54" spans="1:13" s="5" customFormat="1" ht="20.100000000000001" customHeight="1" x14ac:dyDescent="0.2">
      <c r="A54" s="1"/>
      <c r="B54" s="1"/>
      <c r="C54" s="1"/>
      <c r="D54" s="1"/>
      <c r="E54" s="33"/>
      <c r="F54" s="1"/>
      <c r="G54" s="1"/>
      <c r="H54" s="1"/>
      <c r="I54" s="1"/>
      <c r="J54" s="1"/>
      <c r="K54" s="1"/>
      <c r="L54" s="1"/>
      <c r="M54" s="1"/>
    </row>
    <row r="55" spans="1:13" s="5" customFormat="1" ht="20.100000000000001" customHeight="1" x14ac:dyDescent="0.2">
      <c r="A55" s="1"/>
      <c r="B55" s="1"/>
      <c r="C55" s="1"/>
      <c r="D55" s="1"/>
      <c r="E55" s="36"/>
      <c r="F55" s="1"/>
      <c r="G55" s="1"/>
      <c r="H55" s="1"/>
      <c r="I55" s="1"/>
      <c r="J55" s="1"/>
      <c r="K55" s="1"/>
      <c r="L55" s="1"/>
      <c r="M55" s="1"/>
    </row>
    <row r="56" spans="1:13" ht="20.100000000000001" customHeight="1" x14ac:dyDescent="0.2">
      <c r="E56" s="36"/>
    </row>
  </sheetData>
  <sheetProtection selectLockedCells="1"/>
  <mergeCells count="68">
    <mergeCell ref="A10:M10"/>
    <mergeCell ref="H12:M12"/>
    <mergeCell ref="H14:M14"/>
    <mergeCell ref="F18:G18"/>
    <mergeCell ref="F17:G17"/>
    <mergeCell ref="A12:D12"/>
    <mergeCell ref="A18:B19"/>
    <mergeCell ref="A13:B13"/>
    <mergeCell ref="A14:B14"/>
    <mergeCell ref="A15:B15"/>
    <mergeCell ref="A16:B16"/>
    <mergeCell ref="A17:B17"/>
    <mergeCell ref="F50:M50"/>
    <mergeCell ref="C13:D13"/>
    <mergeCell ref="C14:D14"/>
    <mergeCell ref="C15:D15"/>
    <mergeCell ref="C16:D16"/>
    <mergeCell ref="C28:D28"/>
    <mergeCell ref="C17:D17"/>
    <mergeCell ref="C21:D21"/>
    <mergeCell ref="C18:D19"/>
    <mergeCell ref="C30:D30"/>
    <mergeCell ref="C31:D31"/>
    <mergeCell ref="C24:D24"/>
    <mergeCell ref="C25:D25"/>
    <mergeCell ref="C20:D20"/>
    <mergeCell ref="C34:D34"/>
    <mergeCell ref="C46:D47"/>
    <mergeCell ref="A20:B20"/>
    <mergeCell ref="A29:B29"/>
    <mergeCell ref="C29:D29"/>
    <mergeCell ref="A33:B33"/>
    <mergeCell ref="C26:D26"/>
    <mergeCell ref="A26:B26"/>
    <mergeCell ref="A27:B27"/>
    <mergeCell ref="C27:D27"/>
    <mergeCell ref="C33:D33"/>
    <mergeCell ref="C22:D22"/>
    <mergeCell ref="C23:D23"/>
    <mergeCell ref="C32:D32"/>
    <mergeCell ref="A28:B28"/>
    <mergeCell ref="A30:B30"/>
    <mergeCell ref="A31:B32"/>
    <mergeCell ref="A21:B22"/>
    <mergeCell ref="A23:B24"/>
    <mergeCell ref="A25:B25"/>
    <mergeCell ref="A34:B34"/>
    <mergeCell ref="A35:B35"/>
    <mergeCell ref="C39:D39"/>
    <mergeCell ref="A39:B39"/>
    <mergeCell ref="A36:B36"/>
    <mergeCell ref="C36:D36"/>
    <mergeCell ref="A37:B37"/>
    <mergeCell ref="C37:D37"/>
    <mergeCell ref="C35:D35"/>
    <mergeCell ref="A40:B40"/>
    <mergeCell ref="A41:B41"/>
    <mergeCell ref="C40:D40"/>
    <mergeCell ref="A42:B42"/>
    <mergeCell ref="C41:D41"/>
    <mergeCell ref="A46:B47"/>
    <mergeCell ref="A43:B43"/>
    <mergeCell ref="C42:D42"/>
    <mergeCell ref="C43:D43"/>
    <mergeCell ref="A44:B44"/>
    <mergeCell ref="C44:D44"/>
    <mergeCell ref="A45:B45"/>
    <mergeCell ref="C45:D45"/>
  </mergeCells>
  <phoneticPr fontId="5" type="noConversion"/>
  <conditionalFormatting sqref="J16">
    <cfRule type="cellIs" dxfId="19" priority="1" stopIfTrue="1" operator="greaterThan">
      <formula>2</formula>
    </cfRule>
    <cfRule type="cellIs" dxfId="18" priority="2" stopIfTrue="1" operator="lessThan">
      <formula>1</formula>
    </cfRule>
  </conditionalFormatting>
  <conditionalFormatting sqref="M16 M18">
    <cfRule type="cellIs" dxfId="17" priority="3" stopIfTrue="1" operator="greaterThan">
      <formula>73</formula>
    </cfRule>
    <cfRule type="cellIs" dxfId="16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9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heck Box 10">
              <controlPr locked="0" defaultSize="0" autoFill="0" autoLine="0" autoPict="0">
                <anchor moveWithCells="1">
                  <from>
                    <xdr:col>9</xdr:col>
                    <xdr:colOff>800100</xdr:colOff>
                    <xdr:row>19</xdr:row>
                    <xdr:rowOff>66675</xdr:rowOff>
                  </from>
                  <to>
                    <xdr:col>9</xdr:col>
                    <xdr:colOff>1076325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Check Box 11">
              <controlPr locked="0" defaultSize="0" autoFill="0" autoLine="0" autoPict="0">
                <anchor moveWithCells="1">
                  <from>
                    <xdr:col>9</xdr:col>
                    <xdr:colOff>809625</xdr:colOff>
                    <xdr:row>21</xdr:row>
                    <xdr:rowOff>66675</xdr:rowOff>
                  </from>
                  <to>
                    <xdr:col>9</xdr:col>
                    <xdr:colOff>1076325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pageSetUpPr fitToPage="1"/>
  </sheetPr>
  <dimension ref="A1:M60"/>
  <sheetViews>
    <sheetView showGridLines="0" topLeftCell="A7" zoomScale="70" zoomScaleNormal="70" workbookViewId="0"/>
  </sheetViews>
  <sheetFormatPr baseColWidth="10" defaultColWidth="8.85546875" defaultRowHeight="12.75" x14ac:dyDescent="0.2"/>
  <cols>
    <col min="1" max="1" width="35" style="1" customWidth="1"/>
    <col min="2" max="2" width="15.7109375" style="1" customWidth="1"/>
    <col min="3" max="3" width="22.7109375" style="1" customWidth="1"/>
    <col min="4" max="4" width="26.42578125" style="1" customWidth="1"/>
    <col min="5" max="5" width="1.42578125" style="8" customWidth="1"/>
    <col min="6" max="6" width="16.7109375" style="1" customWidth="1"/>
    <col min="7" max="7" width="23.7109375" style="1" customWidth="1"/>
    <col min="8" max="8" width="8.1406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258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0.100000000000001" customHeight="1" x14ac:dyDescent="0.35">
      <c r="A12" s="206" t="s">
        <v>257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173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245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177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206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0.100000000000001" customHeight="1" x14ac:dyDescent="0.2">
      <c r="A19" s="194"/>
      <c r="B19" s="194"/>
      <c r="C19" s="211"/>
      <c r="D19" s="211"/>
      <c r="E19" s="36"/>
      <c r="F19" s="88"/>
      <c r="G19" s="165"/>
      <c r="H19" s="166"/>
      <c r="I19" s="88"/>
      <c r="J19" s="88" t="s">
        <v>4</v>
      </c>
      <c r="K19" s="88" t="s">
        <v>4</v>
      </c>
      <c r="L19" s="88" t="s">
        <v>4</v>
      </c>
      <c r="M19" s="88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88"/>
      <c r="G20" s="88"/>
      <c r="H20" s="88"/>
      <c r="I20" s="87" t="b">
        <v>0</v>
      </c>
      <c r="J20" s="88"/>
      <c r="K20" s="167" t="s">
        <v>83</v>
      </c>
      <c r="L20" s="88"/>
      <c r="M20" s="88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88"/>
      <c r="G21" s="88"/>
      <c r="H21" s="88"/>
      <c r="I21" s="88"/>
      <c r="J21" s="88"/>
      <c r="K21" s="167"/>
      <c r="L21" s="88"/>
      <c r="M21" s="87"/>
    </row>
    <row r="22" spans="1:13" s="7" customFormat="1" ht="20.100000000000001" customHeight="1" x14ac:dyDescent="0.2">
      <c r="A22" s="194"/>
      <c r="B22" s="194"/>
      <c r="C22" s="199" t="s">
        <v>4</v>
      </c>
      <c r="D22" s="199"/>
      <c r="E22" s="33"/>
      <c r="F22" s="106"/>
      <c r="G22" s="106"/>
      <c r="H22" s="106"/>
      <c r="I22" s="87" t="b">
        <v>1</v>
      </c>
      <c r="J22" s="106"/>
      <c r="K22" s="168" t="s">
        <v>84</v>
      </c>
      <c r="L22" s="106"/>
      <c r="M22" s="10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106"/>
      <c r="G23" s="106"/>
      <c r="H23" s="106"/>
      <c r="I23" s="169" t="b">
        <v>1</v>
      </c>
      <c r="J23" s="87"/>
      <c r="K23" s="168"/>
      <c r="L23" s="106"/>
      <c r="M23" s="106"/>
    </row>
    <row r="24" spans="1:13" s="7" customFormat="1" ht="20.100000000000001" customHeight="1" x14ac:dyDescent="0.2">
      <c r="A24" s="193"/>
      <c r="B24" s="193"/>
      <c r="C24" s="231" t="s">
        <v>4</v>
      </c>
      <c r="D24" s="231"/>
      <c r="E24" s="33"/>
      <c r="F24" s="106"/>
      <c r="G24" s="170" t="s">
        <v>4</v>
      </c>
      <c r="H24" s="106"/>
      <c r="I24" s="106"/>
      <c r="J24" s="106"/>
      <c r="K24" s="164" t="s">
        <v>197</v>
      </c>
      <c r="L24" s="106"/>
      <c r="M24" s="106"/>
    </row>
    <row r="25" spans="1:13" s="3" customFormat="1" ht="20.100000000000001" customHeight="1" x14ac:dyDescent="0.25">
      <c r="A25" s="194" t="s">
        <v>100</v>
      </c>
      <c r="B25" s="194"/>
      <c r="C25" s="198" t="s">
        <v>219</v>
      </c>
      <c r="D25" s="198"/>
      <c r="E25" s="33"/>
      <c r="F25" s="43" t="s">
        <v>91</v>
      </c>
      <c r="G25" s="44"/>
      <c r="H25" s="145" t="s">
        <v>85</v>
      </c>
      <c r="I25" s="45" t="s">
        <v>86</v>
      </c>
      <c r="J25" s="45" t="s">
        <v>87</v>
      </c>
      <c r="K25" s="45" t="s">
        <v>88</v>
      </c>
      <c r="L25" s="45" t="s">
        <v>89</v>
      </c>
      <c r="M25" s="46" t="s">
        <v>90</v>
      </c>
    </row>
    <row r="26" spans="1:13" s="4" customFormat="1" ht="20.100000000000001" customHeight="1" x14ac:dyDescent="0.2">
      <c r="A26" s="193" t="s">
        <v>101</v>
      </c>
      <c r="B26" s="193"/>
      <c r="C26" s="195" t="s">
        <v>143</v>
      </c>
      <c r="D26" s="195"/>
      <c r="E26" s="33"/>
      <c r="F26" s="47" t="s">
        <v>176</v>
      </c>
      <c r="G26" s="48"/>
      <c r="H26" s="129" t="s">
        <v>177</v>
      </c>
      <c r="I26" s="48">
        <v>1000</v>
      </c>
      <c r="J26" s="48">
        <v>2000</v>
      </c>
      <c r="K26" s="48">
        <v>5000</v>
      </c>
      <c r="L26" s="48">
        <v>10000</v>
      </c>
      <c r="M26" s="49">
        <v>20000</v>
      </c>
    </row>
    <row r="27" spans="1:13" s="4" customFormat="1" ht="20.100000000000001" customHeight="1" x14ac:dyDescent="0.2">
      <c r="A27" s="194" t="s">
        <v>102</v>
      </c>
      <c r="B27" s="194"/>
      <c r="C27" s="198" t="s">
        <v>220</v>
      </c>
      <c r="D27" s="198"/>
      <c r="E27" s="33"/>
      <c r="F27" s="50" t="s">
        <v>175</v>
      </c>
      <c r="G27" s="51"/>
      <c r="H27" s="131" t="s">
        <v>177</v>
      </c>
      <c r="I27" s="52">
        <v>2000</v>
      </c>
      <c r="J27" s="52">
        <v>3000</v>
      </c>
      <c r="K27" s="52">
        <v>5000</v>
      </c>
      <c r="L27" s="52">
        <v>10000</v>
      </c>
      <c r="M27" s="53">
        <v>20000</v>
      </c>
    </row>
    <row r="28" spans="1:13" s="4" customFormat="1" ht="20.100000000000001" customHeight="1" x14ac:dyDescent="0.2">
      <c r="A28" s="193" t="s">
        <v>103</v>
      </c>
      <c r="B28" s="193"/>
      <c r="C28" s="200">
        <v>150000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288">
        <v>250000</v>
      </c>
      <c r="D29" s="192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20.100000000000001" customHeight="1" x14ac:dyDescent="0.2">
      <c r="A30" s="193" t="s">
        <v>105</v>
      </c>
      <c r="B30" s="193"/>
      <c r="C30" s="196" t="s">
        <v>221</v>
      </c>
      <c r="D30" s="196"/>
      <c r="E30" s="33"/>
      <c r="F30" s="56" t="s">
        <v>27</v>
      </c>
      <c r="G30" s="57"/>
      <c r="H30" s="142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140</v>
      </c>
      <c r="D31" s="210"/>
      <c r="E31" s="33"/>
      <c r="F31" s="25" t="s">
        <v>15</v>
      </c>
      <c r="G31" s="59"/>
      <c r="H31" s="130" t="s">
        <v>177</v>
      </c>
      <c r="I31" s="60">
        <f>VLOOKUP($M$16,Tablas!$A$487:$H$549,4,TRUE)</f>
        <v>2649</v>
      </c>
      <c r="J31" s="60">
        <f>VLOOKUP($M$16,Tablas!$A$487:$H$549,5,TRUE)</f>
        <v>2225</v>
      </c>
      <c r="K31" s="60">
        <f>VLOOKUP($M$16,Tablas!$A$487:$H$549,6,TRUE)</f>
        <v>1484</v>
      </c>
      <c r="L31" s="60">
        <f>VLOOKUP($M$16,Tablas!$A$487:$H$549,7,TRUE)</f>
        <v>1077</v>
      </c>
      <c r="M31" s="59">
        <f>VLOOKUP($M$16,Tablas!$A$487:$H$549,8,TRUE)</f>
        <v>759</v>
      </c>
    </row>
    <row r="32" spans="1:13" s="4" customFormat="1" ht="20.100000000000001" customHeight="1" x14ac:dyDescent="0.2">
      <c r="A32" s="194"/>
      <c r="B32" s="194"/>
      <c r="C32" s="199" t="s">
        <v>192</v>
      </c>
      <c r="D32" s="199"/>
      <c r="E32" s="61"/>
      <c r="F32" s="62" t="s">
        <v>16</v>
      </c>
      <c r="G32" s="63"/>
      <c r="H32" s="134" t="s">
        <v>177</v>
      </c>
      <c r="I32" s="64">
        <f>IF($J$16=1,0,(VLOOKUP($M$18,Tablas!$A$487:$H$549,4,TRUE)))</f>
        <v>0</v>
      </c>
      <c r="J32" s="64">
        <f>IF($J$16=1,0,(VLOOKUP($M$18,Tablas!$A$487:$H$549,5,TRUE)))</f>
        <v>0</v>
      </c>
      <c r="K32" s="64">
        <f>IF($J$16=1,0,(VLOOKUP($M$18,Tablas!$A$487:$H$549,6,TRUE)))</f>
        <v>0</v>
      </c>
      <c r="L32" s="64">
        <f>IF($J$16=1,0,(VLOOKUP($M$18,Tablas!$A$487:$H$549,7,TRUE)))</f>
        <v>0</v>
      </c>
      <c r="M32" s="63">
        <f>IF($J$16=1,0,(VLOOKUP($M$18,Tablas!$A$487:$H$549,8,TRUE)))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147</v>
      </c>
      <c r="D33" s="195"/>
      <c r="E33" s="33"/>
      <c r="F33" s="65" t="s">
        <v>17</v>
      </c>
      <c r="G33" s="66"/>
      <c r="H33" s="134" t="s">
        <v>177</v>
      </c>
      <c r="I33" s="67">
        <f>IF($J$18=0,0,(VLOOKUP($J$18,Tablas!$A$550:$H$552,4,TRUE)))</f>
        <v>2261</v>
      </c>
      <c r="J33" s="67">
        <f>IF($J$18=0,0,(VLOOKUP($J$18,Tablas!$A$550:$H$552,5,TRUE)))</f>
        <v>1148</v>
      </c>
      <c r="K33" s="67">
        <f>IF($J$18=0,0,(VLOOKUP($J$18,Tablas!$A$550:$H$552,6,TRUE)))</f>
        <v>918</v>
      </c>
      <c r="L33" s="67">
        <f>IF($J$18=0,0,(VLOOKUP($J$18,Tablas!$A$550:$H$552,7,TRUE)))</f>
        <v>671</v>
      </c>
      <c r="M33" s="66">
        <f>IF($J$18=0,0,(VLOOKUP($J$18,Tablas!$A$550:$H$552,8,TRUE)))</f>
        <v>477</v>
      </c>
    </row>
    <row r="34" spans="1:13" s="4" customFormat="1" ht="20.100000000000001" customHeight="1" x14ac:dyDescent="0.2">
      <c r="A34" s="194" t="s">
        <v>107</v>
      </c>
      <c r="B34" s="194"/>
      <c r="C34" s="197">
        <v>100000</v>
      </c>
      <c r="D34" s="198"/>
      <c r="E34" s="33"/>
      <c r="F34" s="62" t="s">
        <v>20</v>
      </c>
      <c r="G34" s="63"/>
      <c r="H34" s="134" t="s">
        <v>177</v>
      </c>
      <c r="I34" s="64">
        <f>+IF($I$20=FALSE,0,Tablas!D$553)</f>
        <v>0</v>
      </c>
      <c r="J34" s="64">
        <f>+IF($I$20=FALSE,0,Tablas!E$553)</f>
        <v>0</v>
      </c>
      <c r="K34" s="64">
        <f>+IF($I$20=FALSE,0,Tablas!F$553)</f>
        <v>0</v>
      </c>
      <c r="L34" s="64">
        <f>+IF($I$20=FALSE,0,Tablas!G$553)</f>
        <v>0</v>
      </c>
      <c r="M34" s="63">
        <f>+IF($I$20=FALSE,0,Tablas!H$553)</f>
        <v>0</v>
      </c>
    </row>
    <row r="35" spans="1:13" s="4" customFormat="1" ht="20.100000000000001" customHeight="1" x14ac:dyDescent="0.2">
      <c r="A35" s="193" t="s">
        <v>108</v>
      </c>
      <c r="B35" s="193"/>
      <c r="C35" s="200">
        <v>5000</v>
      </c>
      <c r="D35" s="195"/>
      <c r="E35" s="33"/>
      <c r="F35" s="62" t="s">
        <v>23</v>
      </c>
      <c r="G35" s="63"/>
      <c r="H35" s="134" t="s">
        <v>177</v>
      </c>
      <c r="I35" s="64">
        <f>IF($I$22=FALSE,0,Tablas!D$554)</f>
        <v>300</v>
      </c>
      <c r="J35" s="64">
        <f>IF($I$22=FALSE,0,Tablas!E$554)</f>
        <v>300</v>
      </c>
      <c r="K35" s="64">
        <f>IF($I$22=FALSE,0,Tablas!F$554)</f>
        <v>300</v>
      </c>
      <c r="L35" s="64">
        <f>IF($I$22=FALSE,0,Tablas!G$554)</f>
        <v>300</v>
      </c>
      <c r="M35" s="63">
        <f>IF($I$22=FALSE,0,Tablas!H$554)</f>
        <v>300</v>
      </c>
    </row>
    <row r="36" spans="1:13" s="4" customFormat="1" ht="20.100000000000001" customHeight="1" x14ac:dyDescent="0.2">
      <c r="A36" s="238" t="s">
        <v>109</v>
      </c>
      <c r="B36" s="239"/>
      <c r="C36" s="256" t="s">
        <v>144</v>
      </c>
      <c r="D36" s="257"/>
      <c r="E36" s="33"/>
      <c r="F36" s="62" t="s">
        <v>196</v>
      </c>
      <c r="G36" s="63"/>
      <c r="H36" s="134" t="s">
        <v>177</v>
      </c>
      <c r="I36" s="64">
        <f>IF($I$23=FALSE,0,Tablas!D$555)</f>
        <v>180</v>
      </c>
      <c r="J36" s="64">
        <f>IF($I$23=FALSE,0,Tablas!E$555)</f>
        <v>345</v>
      </c>
      <c r="K36" s="64">
        <f>IF($I$23=FALSE,0,Tablas!F$555)</f>
        <v>775</v>
      </c>
      <c r="L36" s="64">
        <f>IF($I$23=FALSE,0,Tablas!G$555)</f>
        <v>1330</v>
      </c>
      <c r="M36" s="172">
        <f>IF($I$23=FALSE,0,Tablas!H$555)</f>
        <v>2080</v>
      </c>
    </row>
    <row r="37" spans="1:13" s="5" customFormat="1" ht="20.100000000000001" customHeight="1" x14ac:dyDescent="0.2">
      <c r="A37" s="297"/>
      <c r="B37" s="298"/>
      <c r="C37" s="258"/>
      <c r="D37" s="259"/>
      <c r="E37" s="33"/>
      <c r="F37" s="68" t="s">
        <v>19</v>
      </c>
      <c r="G37" s="69"/>
      <c r="H37" s="130" t="s">
        <v>177</v>
      </c>
      <c r="I37" s="70">
        <f>SUM(I31:I36)</f>
        <v>5390</v>
      </c>
      <c r="J37" s="70">
        <f t="shared" ref="J37:M37" si="0">SUM(J31:J36)</f>
        <v>4018</v>
      </c>
      <c r="K37" s="70">
        <f t="shared" si="0"/>
        <v>3477</v>
      </c>
      <c r="L37" s="70">
        <f t="shared" si="0"/>
        <v>3378</v>
      </c>
      <c r="M37" s="171">
        <f t="shared" si="0"/>
        <v>3616</v>
      </c>
    </row>
    <row r="38" spans="1:13" s="4" customFormat="1" ht="20.100000000000001" customHeight="1" x14ac:dyDescent="0.2">
      <c r="A38" s="297"/>
      <c r="B38" s="298"/>
      <c r="C38" s="258"/>
      <c r="D38" s="259"/>
      <c r="E38" s="33"/>
      <c r="F38" s="62" t="s">
        <v>21</v>
      </c>
      <c r="G38" s="63"/>
      <c r="H38" s="134" t="s">
        <v>177</v>
      </c>
      <c r="I38" s="64">
        <v>75</v>
      </c>
      <c r="J38" s="64">
        <v>75</v>
      </c>
      <c r="K38" s="64">
        <v>75</v>
      </c>
      <c r="L38" s="64">
        <v>75</v>
      </c>
      <c r="M38" s="63">
        <v>75</v>
      </c>
    </row>
    <row r="39" spans="1:13" s="4" customFormat="1" ht="20.100000000000001" customHeight="1" x14ac:dyDescent="0.2">
      <c r="A39" s="297"/>
      <c r="B39" s="298"/>
      <c r="C39" s="258"/>
      <c r="D39" s="259"/>
      <c r="E39" s="33"/>
      <c r="F39" s="62" t="s">
        <v>193</v>
      </c>
      <c r="G39" s="63"/>
      <c r="H39" s="136" t="s">
        <v>177</v>
      </c>
      <c r="I39" s="64">
        <f>I37*0.12 + I38*0.12</f>
        <v>655.8</v>
      </c>
      <c r="J39" s="64">
        <f t="shared" ref="J39:M39" si="1">J37*0.12 + J38*0.12</f>
        <v>491.15999999999997</v>
      </c>
      <c r="K39" s="64">
        <f t="shared" si="1"/>
        <v>426.24</v>
      </c>
      <c r="L39" s="64">
        <f t="shared" si="1"/>
        <v>414.35999999999996</v>
      </c>
      <c r="M39" s="182">
        <f t="shared" si="1"/>
        <v>442.91999999999996</v>
      </c>
    </row>
    <row r="40" spans="1:13" s="4" customFormat="1" ht="20.100000000000001" customHeight="1" x14ac:dyDescent="0.2">
      <c r="A40" s="297"/>
      <c r="B40" s="298"/>
      <c r="C40" s="258"/>
      <c r="D40" s="259"/>
      <c r="E40" s="71"/>
      <c r="F40" s="73" t="s">
        <v>18</v>
      </c>
      <c r="G40" s="74"/>
      <c r="H40" s="140" t="s">
        <v>177</v>
      </c>
      <c r="I40" s="75">
        <f>SUM(I37:I39)</f>
        <v>6120.8</v>
      </c>
      <c r="J40" s="75">
        <f t="shared" ref="J40:M40" si="2">SUM(J37:J39)</f>
        <v>4584.16</v>
      </c>
      <c r="K40" s="75">
        <f t="shared" si="2"/>
        <v>3978.24</v>
      </c>
      <c r="L40" s="75">
        <f t="shared" si="2"/>
        <v>3867.36</v>
      </c>
      <c r="M40" s="173">
        <f t="shared" si="2"/>
        <v>4133.92</v>
      </c>
    </row>
    <row r="41" spans="1:13" s="4" customFormat="1" ht="20.100000000000001" customHeight="1" thickBot="1" x14ac:dyDescent="0.25">
      <c r="A41" s="297"/>
      <c r="B41" s="298"/>
      <c r="C41" s="260"/>
      <c r="D41" s="261"/>
      <c r="E41" s="71"/>
      <c r="F41" s="76"/>
      <c r="G41" s="76"/>
      <c r="H41" s="135"/>
      <c r="I41" s="76"/>
      <c r="J41" s="76"/>
      <c r="K41" s="76"/>
      <c r="L41" s="76"/>
      <c r="M41" s="55"/>
    </row>
    <row r="42" spans="1:13" s="4" customFormat="1" ht="20.100000000000001" customHeight="1" x14ac:dyDescent="0.2">
      <c r="A42" s="297"/>
      <c r="B42" s="298"/>
      <c r="C42" s="301" t="s">
        <v>222</v>
      </c>
      <c r="D42" s="263"/>
      <c r="E42" s="72"/>
      <c r="F42" s="56" t="s">
        <v>26</v>
      </c>
      <c r="G42" s="57"/>
      <c r="H42" s="57"/>
      <c r="I42" s="57"/>
      <c r="J42" s="57"/>
      <c r="K42" s="57"/>
      <c r="L42" s="57"/>
      <c r="M42" s="58"/>
    </row>
    <row r="43" spans="1:13" s="5" customFormat="1" ht="20.100000000000001" customHeight="1" x14ac:dyDescent="0.2">
      <c r="A43" s="299"/>
      <c r="B43" s="300"/>
      <c r="C43" s="264"/>
      <c r="D43" s="265"/>
      <c r="E43" s="72"/>
      <c r="F43" s="77" t="s">
        <v>15</v>
      </c>
      <c r="G43" s="78"/>
      <c r="H43" s="136" t="s">
        <v>177</v>
      </c>
      <c r="I43" s="64">
        <f>VLOOKUP($M$16,Tablas!$A$559:$H$621,4,TRUE)</f>
        <v>1403.97</v>
      </c>
      <c r="J43" s="64">
        <f>VLOOKUP($M$16,Tablas!$A$559:$H$621,5,TRUE)</f>
        <v>1179.25</v>
      </c>
      <c r="K43" s="64">
        <f>VLOOKUP($M$16,Tablas!$A$559:$H$621,6,TRUE)</f>
        <v>786.5200000000001</v>
      </c>
      <c r="L43" s="64">
        <f>VLOOKUP($M$16,Tablas!$A$559:$H$621,7,TRUE)</f>
        <v>570.81000000000006</v>
      </c>
      <c r="M43" s="63">
        <f>VLOOKUP($M$16,Tablas!$A$559:$H$621,8,TRUE)</f>
        <v>402.27000000000004</v>
      </c>
    </row>
    <row r="44" spans="1:13" s="4" customFormat="1" ht="20.100000000000001" customHeight="1" x14ac:dyDescent="0.2">
      <c r="A44" s="193" t="s">
        <v>110</v>
      </c>
      <c r="B44" s="193"/>
      <c r="C44" s="195" t="s">
        <v>157</v>
      </c>
      <c r="D44" s="195"/>
      <c r="E44" s="72"/>
      <c r="F44" s="62" t="s">
        <v>16</v>
      </c>
      <c r="G44" s="63"/>
      <c r="H44" s="136" t="s">
        <v>177</v>
      </c>
      <c r="I44" s="64">
        <f>IF($J$16=1,0,(VLOOKUP($M$18,Tablas!$A$559:$H$621,4,TRUE)))</f>
        <v>0</v>
      </c>
      <c r="J44" s="64">
        <f>IF($J$16=1,0,(VLOOKUP($M$18,Tablas!$A$559:$H$621,5,TRUE)))</f>
        <v>0</v>
      </c>
      <c r="K44" s="64">
        <f>IF($J$16=1,0,(VLOOKUP($M$18,Tablas!$A$559:$H$621,6,TRUE)))</f>
        <v>0</v>
      </c>
      <c r="L44" s="64">
        <f>IF($J$16=1,0,(VLOOKUP($M$18,Tablas!$A$559:$H$621,7,TRUE)))</f>
        <v>0</v>
      </c>
      <c r="M44" s="63">
        <f>IF($J$16=1,0,(VLOOKUP($M$18,Tablas!$A$559:$H$621,8,TRUE)))</f>
        <v>0</v>
      </c>
    </row>
    <row r="45" spans="1:13" s="5" customFormat="1" ht="20.100000000000001" customHeight="1" x14ac:dyDescent="0.2">
      <c r="A45" s="194" t="s">
        <v>134</v>
      </c>
      <c r="B45" s="194"/>
      <c r="C45" s="197" t="s">
        <v>148</v>
      </c>
      <c r="D45" s="198"/>
      <c r="E45" s="72"/>
      <c r="F45" s="62" t="s">
        <v>17</v>
      </c>
      <c r="G45" s="63"/>
      <c r="H45" s="136" t="s">
        <v>177</v>
      </c>
      <c r="I45" s="64">
        <f>IF($J$18=0,0,(VLOOKUP($J$18,Tablas!$A$622:$H$624,4,TRUE)))</f>
        <v>1198.3300000000002</v>
      </c>
      <c r="J45" s="64">
        <f>IF($J$18=0,0,(VLOOKUP($J$18,Tablas!$A$622:$H$624,5,TRUE)))</f>
        <v>608.44000000000005</v>
      </c>
      <c r="K45" s="64">
        <f>IF($J$18=0,0,(VLOOKUP($J$18,Tablas!$A$622:$H$624,6,TRUE)))</f>
        <v>486.54</v>
      </c>
      <c r="L45" s="64">
        <f>IF($J$18=0,0,(VLOOKUP($J$18,Tablas!$A$622:$H$624,7,TRUE)))</f>
        <v>355.63</v>
      </c>
      <c r="M45" s="63">
        <f>IF($J$18=0,0,(VLOOKUP($J$18,Tablas!$A$622:$H$624,8,TRUE)))</f>
        <v>252.81</v>
      </c>
    </row>
    <row r="46" spans="1:13" s="4" customFormat="1" ht="20.100000000000001" customHeight="1" x14ac:dyDescent="0.2">
      <c r="A46" s="220" t="s">
        <v>181</v>
      </c>
      <c r="B46" s="220"/>
      <c r="C46" s="282" t="s">
        <v>180</v>
      </c>
      <c r="D46" s="283"/>
      <c r="E46" s="33"/>
      <c r="F46" s="62" t="s">
        <v>20</v>
      </c>
      <c r="G46" s="63"/>
      <c r="H46" s="136" t="s">
        <v>177</v>
      </c>
      <c r="I46" s="64">
        <f>+IF($I$20=FALSE,0,Tablas!D$625)</f>
        <v>0</v>
      </c>
      <c r="J46" s="64">
        <f>+IF($I$20=FALSE,0,Tablas!E$625)</f>
        <v>0</v>
      </c>
      <c r="K46" s="64">
        <f>+IF($I$20=FALSE,0,Tablas!F$625)</f>
        <v>0</v>
      </c>
      <c r="L46" s="64">
        <f>+IF($I$20=FALSE,0,Tablas!G$625)</f>
        <v>0</v>
      </c>
      <c r="M46" s="63">
        <f>+IF($I$20=FALSE,0,Tablas!H$625)</f>
        <v>0</v>
      </c>
    </row>
    <row r="47" spans="1:13" s="4" customFormat="1" ht="20.100000000000001" customHeight="1" x14ac:dyDescent="0.2">
      <c r="A47" s="194" t="s">
        <v>112</v>
      </c>
      <c r="B47" s="194"/>
      <c r="C47" s="197" t="s">
        <v>145</v>
      </c>
      <c r="D47" s="198"/>
      <c r="E47" s="33"/>
      <c r="F47" s="62" t="s">
        <v>23</v>
      </c>
      <c r="G47" s="63"/>
      <c r="H47" s="136" t="s">
        <v>177</v>
      </c>
      <c r="I47" s="64">
        <f>IF($I$22=FALSE,0,Tablas!D$626)</f>
        <v>159</v>
      </c>
      <c r="J47" s="64">
        <f>IF($I$22=FALSE,0,Tablas!E$626)</f>
        <v>159</v>
      </c>
      <c r="K47" s="64">
        <f>IF($I$22=FALSE,0,Tablas!F$626)</f>
        <v>159</v>
      </c>
      <c r="L47" s="64">
        <f>IF($I$22=FALSE,0,Tablas!G$626)</f>
        <v>159</v>
      </c>
      <c r="M47" s="63">
        <f>IF($I$22=FALSE,0,Tablas!H$626)</f>
        <v>159</v>
      </c>
    </row>
    <row r="48" spans="1:13" s="4" customFormat="1" ht="20.100000000000001" customHeight="1" x14ac:dyDescent="0.2">
      <c r="A48" s="220" t="s">
        <v>162</v>
      </c>
      <c r="B48" s="220"/>
      <c r="C48" s="282" t="s">
        <v>163</v>
      </c>
      <c r="D48" s="283"/>
      <c r="E48" s="33"/>
      <c r="F48" s="62" t="s">
        <v>196</v>
      </c>
      <c r="G48" s="63"/>
      <c r="H48" s="136" t="s">
        <v>177</v>
      </c>
      <c r="I48" s="64">
        <f>IF($I$23=FALSE,0,Tablas!D$627)</f>
        <v>95.4</v>
      </c>
      <c r="J48" s="64">
        <f>IF($I$23=FALSE,0,Tablas!E$627)</f>
        <v>182.85000000000002</v>
      </c>
      <c r="K48" s="64">
        <f>IF($I$23=FALSE,0,Tablas!F$627)</f>
        <v>410.75</v>
      </c>
      <c r="L48" s="64">
        <f>IF($I$23=FALSE,0,Tablas!G$627)</f>
        <v>704.90000000000009</v>
      </c>
      <c r="M48" s="172">
        <f>IF($I$23=FALSE,0,Tablas!H$627)</f>
        <v>1102.4000000000001</v>
      </c>
    </row>
    <row r="49" spans="1:13" s="4" customFormat="1" ht="20.100000000000001" customHeight="1" x14ac:dyDescent="0.2">
      <c r="A49" s="289" t="s">
        <v>154</v>
      </c>
      <c r="B49" s="290"/>
      <c r="C49" s="293" t="s">
        <v>156</v>
      </c>
      <c r="D49" s="294"/>
      <c r="E49" s="33"/>
      <c r="F49" s="68" t="s">
        <v>19</v>
      </c>
      <c r="G49" s="69"/>
      <c r="H49" s="130" t="s">
        <v>177</v>
      </c>
      <c r="I49" s="70">
        <f>SUM(I43:I48)</f>
        <v>2856.7000000000003</v>
      </c>
      <c r="J49" s="70">
        <f t="shared" ref="J49:M49" si="3">SUM(J43:J48)</f>
        <v>2129.54</v>
      </c>
      <c r="K49" s="70">
        <f t="shared" si="3"/>
        <v>1842.8100000000002</v>
      </c>
      <c r="L49" s="70">
        <f t="shared" si="3"/>
        <v>1790.3400000000001</v>
      </c>
      <c r="M49" s="171">
        <f t="shared" si="3"/>
        <v>1916.48</v>
      </c>
    </row>
    <row r="50" spans="1:13" s="4" customFormat="1" ht="20.100000000000001" customHeight="1" x14ac:dyDescent="0.2">
      <c r="A50" s="291"/>
      <c r="B50" s="292"/>
      <c r="C50" s="295"/>
      <c r="D50" s="296"/>
      <c r="E50" s="33"/>
      <c r="F50" s="62" t="s">
        <v>21</v>
      </c>
      <c r="G50" s="63"/>
      <c r="H50" s="134" t="s">
        <v>177</v>
      </c>
      <c r="I50" s="64">
        <v>75</v>
      </c>
      <c r="J50" s="64">
        <v>75</v>
      </c>
      <c r="K50" s="64">
        <v>75</v>
      </c>
      <c r="L50" s="64">
        <v>75</v>
      </c>
      <c r="M50" s="63">
        <v>75</v>
      </c>
    </row>
    <row r="51" spans="1:13" s="4" customFormat="1" ht="20.100000000000001" customHeight="1" x14ac:dyDescent="0.2">
      <c r="A51" s="1"/>
      <c r="B51" s="1"/>
      <c r="C51" s="1"/>
      <c r="D51" s="1"/>
      <c r="E51" s="33"/>
      <c r="F51" s="62" t="s">
        <v>193</v>
      </c>
      <c r="G51" s="63"/>
      <c r="H51" s="136" t="s">
        <v>177</v>
      </c>
      <c r="I51" s="64">
        <f>I49*0.12 + I50*0.12</f>
        <v>351.80400000000003</v>
      </c>
      <c r="J51" s="64">
        <f t="shared" ref="J51:M51" si="4">J49*0.12 + J50*0.12</f>
        <v>264.54480000000001</v>
      </c>
      <c r="K51" s="64">
        <f t="shared" si="4"/>
        <v>230.13720000000001</v>
      </c>
      <c r="L51" s="64">
        <f t="shared" si="4"/>
        <v>223.8408</v>
      </c>
      <c r="M51" s="182">
        <f t="shared" si="4"/>
        <v>238.9776</v>
      </c>
    </row>
    <row r="52" spans="1:13" s="4" customFormat="1" ht="20.100000000000001" customHeight="1" x14ac:dyDescent="0.2">
      <c r="A52" s="1"/>
      <c r="B52" s="1" t="s">
        <v>4</v>
      </c>
      <c r="C52" s="1"/>
      <c r="D52" s="1"/>
      <c r="E52" s="33"/>
      <c r="F52" s="80" t="s">
        <v>24</v>
      </c>
      <c r="G52" s="81"/>
      <c r="H52" s="138" t="s">
        <v>177</v>
      </c>
      <c r="I52" s="82">
        <f>SUM(I49:I51)</f>
        <v>3283.5040000000004</v>
      </c>
      <c r="J52" s="82">
        <f t="shared" ref="J52:M52" si="5">SUM(J49:J51)</f>
        <v>2469.0848000000001</v>
      </c>
      <c r="K52" s="82">
        <f t="shared" si="5"/>
        <v>2147.9472000000001</v>
      </c>
      <c r="L52" s="82">
        <f t="shared" si="5"/>
        <v>2089.1808000000001</v>
      </c>
      <c r="M52" s="174">
        <f t="shared" si="5"/>
        <v>2230.4576000000002</v>
      </c>
    </row>
    <row r="53" spans="1:13" s="5" customFormat="1" ht="20.100000000000001" customHeight="1" x14ac:dyDescent="0.2">
      <c r="A53" s="1"/>
      <c r="B53" s="1" t="s">
        <v>4</v>
      </c>
      <c r="C53" s="1"/>
      <c r="D53" s="1"/>
      <c r="E53" s="33"/>
      <c r="F53" s="83" t="s">
        <v>25</v>
      </c>
      <c r="G53" s="84"/>
      <c r="H53" s="139" t="s">
        <v>177</v>
      </c>
      <c r="I53" s="85">
        <f>I49+I51</f>
        <v>3208.5040000000004</v>
      </c>
      <c r="J53" s="85">
        <f t="shared" ref="J53:M53" si="6">J49+J51</f>
        <v>2394.0848000000001</v>
      </c>
      <c r="K53" s="85">
        <f t="shared" si="6"/>
        <v>2072.9472000000001</v>
      </c>
      <c r="L53" s="85">
        <f t="shared" si="6"/>
        <v>2014.1808000000001</v>
      </c>
      <c r="M53" s="175">
        <f t="shared" si="6"/>
        <v>2155.4576000000002</v>
      </c>
    </row>
    <row r="54" spans="1:13" s="4" customFormat="1" ht="20.100000000000001" customHeight="1" x14ac:dyDescent="0.25">
      <c r="A54" s="1"/>
      <c r="B54" s="1"/>
      <c r="C54" s="1"/>
      <c r="D54" s="1"/>
      <c r="E54" s="33"/>
      <c r="F54" s="207" t="s">
        <v>191</v>
      </c>
      <c r="G54" s="208"/>
      <c r="H54" s="208"/>
      <c r="I54" s="208"/>
      <c r="J54" s="208"/>
      <c r="K54" s="208"/>
      <c r="L54" s="208"/>
      <c r="M54" s="209"/>
    </row>
    <row r="55" spans="1:13" s="4" customFormat="1" ht="20.100000000000001" customHeight="1" x14ac:dyDescent="0.2">
      <c r="A55" s="1"/>
      <c r="B55" s="1"/>
      <c r="C55" s="1"/>
      <c r="D55" s="1"/>
      <c r="E55" s="71"/>
      <c r="F55" s="1"/>
      <c r="G55" s="1"/>
      <c r="H55" s="1"/>
      <c r="I55" s="1"/>
      <c r="J55" s="1"/>
      <c r="K55" s="1"/>
      <c r="L55" s="1"/>
      <c r="M55" s="1"/>
    </row>
    <row r="56" spans="1:13" s="4" customFormat="1" ht="20.100000000000001" customHeight="1" x14ac:dyDescent="0.2">
      <c r="A56" s="1"/>
      <c r="B56" s="1"/>
      <c r="C56" s="1"/>
      <c r="D56" s="1"/>
      <c r="E56" s="71"/>
      <c r="F56" s="1"/>
      <c r="G56" s="1"/>
      <c r="H56" s="1"/>
      <c r="I56" s="1"/>
      <c r="J56" s="1"/>
      <c r="K56" s="1"/>
      <c r="L56" s="1"/>
      <c r="M56" s="1"/>
    </row>
    <row r="57" spans="1:13" s="4" customFormat="1" ht="20.100000000000001" hidden="1" customHeight="1" x14ac:dyDescent="0.2">
      <c r="A57" s="1"/>
      <c r="B57" s="1"/>
      <c r="C57" s="1"/>
      <c r="D57" s="1"/>
      <c r="E57" s="79"/>
      <c r="F57" s="1"/>
      <c r="G57" s="1"/>
      <c r="H57" s="1"/>
      <c r="I57" s="1"/>
      <c r="J57" s="1"/>
      <c r="K57" s="1"/>
      <c r="L57" s="1"/>
      <c r="M57" s="1"/>
    </row>
    <row r="58" spans="1:13" s="5" customFormat="1" ht="20.100000000000001" customHeight="1" x14ac:dyDescent="0.2">
      <c r="A58" s="1"/>
      <c r="B58" s="1"/>
      <c r="C58" s="1"/>
      <c r="D58" s="1"/>
      <c r="E58" s="33"/>
      <c r="F58" s="1"/>
      <c r="G58" s="1"/>
      <c r="H58" s="1"/>
      <c r="I58" s="1"/>
      <c r="J58" s="1"/>
      <c r="K58" s="1"/>
      <c r="L58" s="1"/>
      <c r="M58" s="1"/>
    </row>
    <row r="59" spans="1:13" s="5" customFormat="1" ht="20.100000000000001" customHeight="1" x14ac:dyDescent="0.2">
      <c r="A59" s="1"/>
      <c r="B59" s="1"/>
      <c r="C59" s="1"/>
      <c r="D59" s="1"/>
      <c r="E59" s="36"/>
      <c r="F59" s="1"/>
      <c r="G59" s="1"/>
      <c r="H59" s="1"/>
      <c r="I59" s="1"/>
      <c r="J59" s="1"/>
      <c r="K59" s="1"/>
      <c r="L59" s="1"/>
      <c r="M59" s="1"/>
    </row>
    <row r="60" spans="1:13" ht="20.100000000000001" customHeight="1" x14ac:dyDescent="0.2">
      <c r="E60" s="36"/>
    </row>
  </sheetData>
  <sheetProtection password="9A3C" sheet="1" objects="1" scenarios="1" selectLockedCells="1"/>
  <mergeCells count="63">
    <mergeCell ref="C34:D34"/>
    <mergeCell ref="C32:D32"/>
    <mergeCell ref="A49:B50"/>
    <mergeCell ref="C49:D50"/>
    <mergeCell ref="C47:D47"/>
    <mergeCell ref="A48:B48"/>
    <mergeCell ref="A47:B47"/>
    <mergeCell ref="A34:B34"/>
    <mergeCell ref="A35:B35"/>
    <mergeCell ref="A36:B43"/>
    <mergeCell ref="A46:B46"/>
    <mergeCell ref="C35:D35"/>
    <mergeCell ref="C42:D43"/>
    <mergeCell ref="C45:D45"/>
    <mergeCell ref="C46:D46"/>
    <mergeCell ref="C44:D44"/>
    <mergeCell ref="A44:B44"/>
    <mergeCell ref="A45:B45"/>
    <mergeCell ref="C36:D41"/>
    <mergeCell ref="F54:M54"/>
    <mergeCell ref="C48:D48"/>
    <mergeCell ref="A17:B17"/>
    <mergeCell ref="A20:B20"/>
    <mergeCell ref="A28:B28"/>
    <mergeCell ref="A29:B29"/>
    <mergeCell ref="A31:B32"/>
    <mergeCell ref="A30:B30"/>
    <mergeCell ref="A27:B27"/>
    <mergeCell ref="A23:B24"/>
    <mergeCell ref="A25:B25"/>
    <mergeCell ref="A26:B26"/>
    <mergeCell ref="A21:B22"/>
    <mergeCell ref="C21:D21"/>
    <mergeCell ref="C18:D19"/>
    <mergeCell ref="A33:B33"/>
    <mergeCell ref="C33:D33"/>
    <mergeCell ref="C30:D30"/>
    <mergeCell ref="C31:D31"/>
    <mergeCell ref="C24:D24"/>
    <mergeCell ref="C25:D25"/>
    <mergeCell ref="C20:D20"/>
    <mergeCell ref="C27:D27"/>
    <mergeCell ref="C28:D28"/>
    <mergeCell ref="C29:D29"/>
    <mergeCell ref="C23:D23"/>
    <mergeCell ref="C22:D22"/>
    <mergeCell ref="C26:D26"/>
    <mergeCell ref="A10:M10"/>
    <mergeCell ref="H12:M12"/>
    <mergeCell ref="H14:M14"/>
    <mergeCell ref="F18:G18"/>
    <mergeCell ref="F17:G17"/>
    <mergeCell ref="A12:D12"/>
    <mergeCell ref="A18:B19"/>
    <mergeCell ref="A13:B13"/>
    <mergeCell ref="A14:B14"/>
    <mergeCell ref="A15:B15"/>
    <mergeCell ref="C13:D13"/>
    <mergeCell ref="C14:D14"/>
    <mergeCell ref="C15:D15"/>
    <mergeCell ref="C16:D16"/>
    <mergeCell ref="C17:D17"/>
    <mergeCell ref="A16:B16"/>
  </mergeCells>
  <phoneticPr fontId="5" type="noConversion"/>
  <conditionalFormatting sqref="J16">
    <cfRule type="cellIs" dxfId="15" priority="1" stopIfTrue="1" operator="greaterThan">
      <formula>2</formula>
    </cfRule>
    <cfRule type="cellIs" dxfId="14" priority="2" stopIfTrue="1" operator="lessThan">
      <formula>1</formula>
    </cfRule>
  </conditionalFormatting>
  <conditionalFormatting sqref="M16 M18">
    <cfRule type="cellIs" dxfId="13" priority="3" stopIfTrue="1" operator="greaterThan">
      <formula>73</formula>
    </cfRule>
    <cfRule type="cellIs" dxfId="12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Check Box 10">
              <controlPr locked="0" defaultSize="0" autoFill="0" autoLine="0" autoPict="0">
                <anchor moveWithCells="1">
                  <from>
                    <xdr:col>9</xdr:col>
                    <xdr:colOff>790575</xdr:colOff>
                    <xdr:row>19</xdr:row>
                    <xdr:rowOff>66675</xdr:rowOff>
                  </from>
                  <to>
                    <xdr:col>9</xdr:col>
                    <xdr:colOff>1057275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5" name="Check Box 11">
              <controlPr locked="0" defaultSize="0" autoFill="0" autoLine="0" autoPict="0">
                <anchor moveWithCells="1">
                  <from>
                    <xdr:col>9</xdr:col>
                    <xdr:colOff>790575</xdr:colOff>
                    <xdr:row>21</xdr:row>
                    <xdr:rowOff>66675</xdr:rowOff>
                  </from>
                  <to>
                    <xdr:col>9</xdr:col>
                    <xdr:colOff>1057275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6" name="Check Box 12">
              <controlPr locked="0" defaultSize="0" autoFill="0" autoLine="0" autoPict="0">
                <anchor moveWithCells="1">
                  <from>
                    <xdr:col>9</xdr:col>
                    <xdr:colOff>771525</xdr:colOff>
                    <xdr:row>22</xdr:row>
                    <xdr:rowOff>200025</xdr:rowOff>
                  </from>
                  <to>
                    <xdr:col>9</xdr:col>
                    <xdr:colOff>1038225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pageSetUpPr fitToPage="1"/>
  </sheetPr>
  <dimension ref="A1:M58"/>
  <sheetViews>
    <sheetView showGridLines="0" zoomScale="70" zoomScaleNormal="70" workbookViewId="0"/>
  </sheetViews>
  <sheetFormatPr baseColWidth="10" defaultColWidth="8.85546875" defaultRowHeight="12.75" x14ac:dyDescent="0.2"/>
  <cols>
    <col min="1" max="1" width="35" style="1" customWidth="1"/>
    <col min="2" max="2" width="16.28515625" style="1" customWidth="1"/>
    <col min="3" max="3" width="22.7109375" style="1" customWidth="1"/>
    <col min="4" max="4" width="26.7109375" style="1" customWidth="1"/>
    <col min="5" max="5" width="1.42578125" style="8" customWidth="1"/>
    <col min="6" max="6" width="16.7109375" style="1" customWidth="1"/>
    <col min="7" max="7" width="19.7109375" style="1" customWidth="1"/>
    <col min="8" max="8" width="8.1406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241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30"/>
      <c r="B11" s="30"/>
      <c r="C11" s="30"/>
      <c r="D11" s="30"/>
      <c r="E11" s="31"/>
      <c r="F11" s="30"/>
      <c r="G11" s="30"/>
      <c r="H11" s="30"/>
      <c r="I11" s="30"/>
      <c r="J11" s="30"/>
      <c r="K11" s="30"/>
      <c r="L11" s="30"/>
      <c r="M11" s="30"/>
    </row>
    <row r="12" spans="1:13" ht="20.100000000000001" customHeight="1" x14ac:dyDescent="0.35">
      <c r="A12" s="206" t="s">
        <v>240</v>
      </c>
      <c r="B12" s="206"/>
      <c r="C12" s="206"/>
      <c r="D12" s="206"/>
      <c r="E12" s="32"/>
      <c r="F12" s="30"/>
      <c r="G12" s="30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223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30"/>
      <c r="G14" s="30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30"/>
      <c r="G15" s="30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246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218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138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0.100000000000001" customHeight="1" x14ac:dyDescent="0.2">
      <c r="A19" s="194"/>
      <c r="B19" s="194"/>
      <c r="C19" s="211"/>
      <c r="D19" s="211"/>
      <c r="E19" s="36"/>
      <c r="F19" s="35"/>
      <c r="G19" s="37"/>
      <c r="H19" s="38"/>
      <c r="I19" s="35"/>
      <c r="J19" s="35" t="s">
        <v>4</v>
      </c>
      <c r="K19" s="35" t="s">
        <v>4</v>
      </c>
      <c r="L19" s="35" t="s">
        <v>4</v>
      </c>
      <c r="M19" s="35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35"/>
      <c r="G20" s="35"/>
      <c r="H20" s="35"/>
      <c r="I20" s="87" t="b">
        <v>1</v>
      </c>
      <c r="J20" s="35"/>
      <c r="K20" s="40" t="s">
        <v>83</v>
      </c>
      <c r="L20" s="35"/>
      <c r="M20" s="35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35"/>
      <c r="G21" s="35"/>
      <c r="H21" s="35"/>
      <c r="I21" s="88"/>
      <c r="J21" s="35"/>
      <c r="K21" s="40"/>
      <c r="L21" s="35"/>
      <c r="M21" s="39"/>
    </row>
    <row r="22" spans="1:13" s="7" customFormat="1" ht="20.100000000000001" customHeight="1" x14ac:dyDescent="0.2">
      <c r="A22" s="194"/>
      <c r="B22" s="194"/>
      <c r="C22" s="199" t="s">
        <v>224</v>
      </c>
      <c r="D22" s="199"/>
      <c r="E22" s="33"/>
      <c r="F22" s="26"/>
      <c r="G22" s="26"/>
      <c r="H22" s="26"/>
      <c r="I22" s="87" t="b">
        <v>1</v>
      </c>
      <c r="J22" s="26"/>
      <c r="K22" s="41" t="s">
        <v>84</v>
      </c>
      <c r="L22" s="26"/>
      <c r="M22" s="2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26"/>
      <c r="G23" s="26"/>
      <c r="H23" s="26"/>
      <c r="I23" s="26"/>
      <c r="J23" s="39"/>
      <c r="K23" s="41"/>
      <c r="L23" s="26"/>
      <c r="M23" s="26"/>
    </row>
    <row r="24" spans="1:13" s="7" customFormat="1" ht="20.100000000000001" customHeight="1" x14ac:dyDescent="0.2">
      <c r="A24" s="193"/>
      <c r="B24" s="193"/>
      <c r="C24" s="231" t="s">
        <v>224</v>
      </c>
      <c r="D24" s="231"/>
      <c r="E24" s="33"/>
      <c r="F24" s="26"/>
      <c r="G24" s="42" t="s">
        <v>4</v>
      </c>
      <c r="H24" s="26"/>
      <c r="I24" s="26"/>
      <c r="J24" s="26"/>
      <c r="K24" s="26"/>
      <c r="L24" s="26"/>
      <c r="M24" s="26"/>
    </row>
    <row r="25" spans="1:13" s="3" customFormat="1" ht="20.100000000000001" customHeight="1" x14ac:dyDescent="0.25">
      <c r="A25" s="194" t="s">
        <v>100</v>
      </c>
      <c r="B25" s="194"/>
      <c r="C25" s="198" t="s">
        <v>160</v>
      </c>
      <c r="D25" s="198"/>
      <c r="E25" s="33"/>
      <c r="F25" s="43" t="s">
        <v>91</v>
      </c>
      <c r="G25" s="44"/>
      <c r="H25" s="145"/>
      <c r="I25" s="147" t="s">
        <v>85</v>
      </c>
      <c r="J25" s="147" t="s">
        <v>86</v>
      </c>
      <c r="K25" s="147" t="s">
        <v>87</v>
      </c>
      <c r="L25" s="147" t="s">
        <v>88</v>
      </c>
      <c r="M25" s="147" t="s">
        <v>89</v>
      </c>
    </row>
    <row r="26" spans="1:13" s="4" customFormat="1" ht="20.100000000000001" customHeight="1" x14ac:dyDescent="0.2">
      <c r="A26" s="193" t="s">
        <v>101</v>
      </c>
      <c r="B26" s="193"/>
      <c r="C26" s="195" t="s">
        <v>146</v>
      </c>
      <c r="D26" s="195"/>
      <c r="E26" s="33"/>
      <c r="F26" s="47" t="s">
        <v>176</v>
      </c>
      <c r="G26" s="48"/>
      <c r="H26" s="129"/>
      <c r="I26" s="48">
        <v>250</v>
      </c>
      <c r="J26" s="48">
        <v>500</v>
      </c>
      <c r="K26" s="48">
        <v>1000</v>
      </c>
      <c r="L26" s="48">
        <v>2000</v>
      </c>
      <c r="M26" s="49">
        <v>5000</v>
      </c>
    </row>
    <row r="27" spans="1:13" s="4" customFormat="1" ht="20.100000000000001" customHeight="1" x14ac:dyDescent="0.2">
      <c r="A27" s="194" t="s">
        <v>102</v>
      </c>
      <c r="B27" s="194"/>
      <c r="C27" s="198" t="s">
        <v>220</v>
      </c>
      <c r="D27" s="198"/>
      <c r="E27" s="33"/>
      <c r="F27" s="50" t="s">
        <v>175</v>
      </c>
      <c r="G27" s="51"/>
      <c r="H27" s="131"/>
      <c r="I27" s="52">
        <v>500</v>
      </c>
      <c r="J27" s="52">
        <v>1000</v>
      </c>
      <c r="K27" s="52">
        <v>2000</v>
      </c>
      <c r="L27" s="52">
        <v>4000</v>
      </c>
      <c r="M27" s="53">
        <v>5000</v>
      </c>
    </row>
    <row r="28" spans="1:13" s="4" customFormat="1" ht="20.100000000000001" customHeight="1" x14ac:dyDescent="0.2">
      <c r="A28" s="193" t="s">
        <v>103</v>
      </c>
      <c r="B28" s="193"/>
      <c r="C28" s="200">
        <v>50000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200">
        <v>250000</v>
      </c>
      <c r="D29" s="195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20.100000000000001" customHeight="1" x14ac:dyDescent="0.2">
      <c r="A30" s="193" t="s">
        <v>105</v>
      </c>
      <c r="B30" s="193"/>
      <c r="C30" s="196" t="s">
        <v>225</v>
      </c>
      <c r="D30" s="196"/>
      <c r="E30" s="33"/>
      <c r="F30" s="56" t="s">
        <v>27</v>
      </c>
      <c r="G30" s="57"/>
      <c r="H30" s="142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140</v>
      </c>
      <c r="D31" s="210"/>
      <c r="E31" s="33"/>
      <c r="F31" s="25" t="s">
        <v>15</v>
      </c>
      <c r="G31" s="59"/>
      <c r="H31" s="130"/>
      <c r="I31" s="60">
        <f>VLOOKUP($M$16,Tablas!$A$633:$H$695,4,TRUE)</f>
        <v>2021</v>
      </c>
      <c r="J31" s="60">
        <f>VLOOKUP($M$16,Tablas!$A$633:$H$695,5,TRUE)</f>
        <v>1754</v>
      </c>
      <c r="K31" s="60">
        <f>VLOOKUP($M$16,Tablas!$A$633:$H$695,6,TRUE)</f>
        <v>1603</v>
      </c>
      <c r="L31" s="60">
        <f>VLOOKUP($M$16,Tablas!$A$633:$H$695,7,TRUE)</f>
        <v>1345</v>
      </c>
      <c r="M31" s="59">
        <f>VLOOKUP($M$16,Tablas!$A$633:$H$695,8,TRUE)</f>
        <v>997</v>
      </c>
    </row>
    <row r="32" spans="1:13" s="4" customFormat="1" ht="20.100000000000001" customHeight="1" x14ac:dyDescent="0.2">
      <c r="A32" s="194"/>
      <c r="B32" s="194"/>
      <c r="C32" s="199" t="s">
        <v>192</v>
      </c>
      <c r="D32" s="199"/>
      <c r="E32" s="61"/>
      <c r="F32" s="62" t="s">
        <v>16</v>
      </c>
      <c r="G32" s="63"/>
      <c r="H32" s="134"/>
      <c r="I32" s="64">
        <f>IF($J$16=1,0,(VLOOKUP($M$18,Tablas!$A$633:$H$695,4,TRUE)))</f>
        <v>0</v>
      </c>
      <c r="J32" s="64">
        <f>IF($J$16=1,0,(VLOOKUP($M$18,Tablas!$A$633:$H$695,5,TRUE)))</f>
        <v>0</v>
      </c>
      <c r="K32" s="64">
        <f>IF($J$16=1,0,(VLOOKUP($M$18,Tablas!$A$633:$H$695,6,TRUE)))</f>
        <v>0</v>
      </c>
      <c r="L32" s="64">
        <f>IF($J$16=1,0,(VLOOKUP($M$18,Tablas!$A$633:$H$695,7,TRUE)))</f>
        <v>0</v>
      </c>
      <c r="M32" s="63">
        <f>IF($J$16=1,0,(VLOOKUP($M$18,Tablas!$A$633:$H$695,8,TRUE)))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135</v>
      </c>
      <c r="D33" s="195"/>
      <c r="E33" s="33"/>
      <c r="F33" s="65" t="s">
        <v>17</v>
      </c>
      <c r="G33" s="66"/>
      <c r="H33" s="134"/>
      <c r="I33" s="67">
        <f>IF($J$18=0,0,(VLOOKUP($J$18,Tablas!$A$696:$H$698,4,TRUE)))</f>
        <v>1736</v>
      </c>
      <c r="J33" s="67">
        <f>IF($J$18=0,0,(VLOOKUP($J$18,Tablas!$A$696:$H$698,5,TRUE)))</f>
        <v>1505</v>
      </c>
      <c r="K33" s="67">
        <f>IF($J$18=0,0,(VLOOKUP($J$18,Tablas!$A$696:$H$698,6,TRUE)))</f>
        <v>1371</v>
      </c>
      <c r="L33" s="67">
        <f>IF($J$18=0,0,(VLOOKUP($J$18,Tablas!$A$696:$H$698,7,TRUE)))</f>
        <v>703</v>
      </c>
      <c r="M33" s="66">
        <f>IF($J$18=0,0,(VLOOKUP($J$18,Tablas!$A$696:$H$698,8,TRUE)))</f>
        <v>641</v>
      </c>
    </row>
    <row r="34" spans="1:13" s="4" customFormat="1" ht="20.100000000000001" customHeight="1" x14ac:dyDescent="0.2">
      <c r="A34" s="194" t="s">
        <v>107</v>
      </c>
      <c r="B34" s="194"/>
      <c r="C34" s="197">
        <v>25000</v>
      </c>
      <c r="D34" s="198"/>
      <c r="E34" s="33"/>
      <c r="F34" s="62" t="s">
        <v>20</v>
      </c>
      <c r="G34" s="63"/>
      <c r="H34" s="134"/>
      <c r="I34" s="64">
        <f>+IF($I$20=FALSE,0,Tablas!D$699)</f>
        <v>225</v>
      </c>
      <c r="J34" s="64">
        <f>+IF($I$20=FALSE,0,Tablas!E$699)</f>
        <v>225</v>
      </c>
      <c r="K34" s="64">
        <f>+IF($I$20=FALSE,0,Tablas!F$699)</f>
        <v>225</v>
      </c>
      <c r="L34" s="64">
        <f>+IF($I$20=FALSE,0,Tablas!G$699)</f>
        <v>225</v>
      </c>
      <c r="M34" s="63">
        <f>+IF($I$20=FALSE,0,Tablas!H$699)</f>
        <v>225</v>
      </c>
    </row>
    <row r="35" spans="1:13" s="4" customFormat="1" ht="20.100000000000001" customHeight="1" x14ac:dyDescent="0.2">
      <c r="A35" s="193" t="s">
        <v>108</v>
      </c>
      <c r="B35" s="193"/>
      <c r="C35" s="200">
        <v>5000</v>
      </c>
      <c r="D35" s="195"/>
      <c r="E35" s="33"/>
      <c r="F35" s="62" t="s">
        <v>23</v>
      </c>
      <c r="G35" s="63"/>
      <c r="H35" s="134"/>
      <c r="I35" s="64">
        <f>IF($I$22=FALSE,0,Tablas!D$700)</f>
        <v>300</v>
      </c>
      <c r="J35" s="64">
        <f>IF($I$22=FALSE,0,Tablas!E$700)</f>
        <v>300</v>
      </c>
      <c r="K35" s="64">
        <f>IF($I$22=FALSE,0,Tablas!F$700)</f>
        <v>300</v>
      </c>
      <c r="L35" s="64">
        <f>IF($I$22=FALSE,0,Tablas!G$700)</f>
        <v>300</v>
      </c>
      <c r="M35" s="63">
        <f>IF($I$22=FALSE,0,Tablas!H$700)</f>
        <v>300</v>
      </c>
    </row>
    <row r="36" spans="1:13" s="5" customFormat="1" ht="20.100000000000001" customHeight="1" x14ac:dyDescent="0.2">
      <c r="A36" s="234" t="s">
        <v>109</v>
      </c>
      <c r="B36" s="235"/>
      <c r="C36" s="256" t="s">
        <v>226</v>
      </c>
      <c r="D36" s="257"/>
      <c r="E36" s="33"/>
      <c r="F36" s="68" t="s">
        <v>19</v>
      </c>
      <c r="G36" s="69"/>
      <c r="H36" s="130"/>
      <c r="I36" s="70">
        <f t="shared" ref="I36:M36" si="0">SUM(I31:I35)</f>
        <v>4282</v>
      </c>
      <c r="J36" s="70">
        <f t="shared" si="0"/>
        <v>3784</v>
      </c>
      <c r="K36" s="70">
        <f t="shared" si="0"/>
        <v>3499</v>
      </c>
      <c r="L36" s="70">
        <f t="shared" si="0"/>
        <v>2573</v>
      </c>
      <c r="M36" s="69">
        <f t="shared" si="0"/>
        <v>2163</v>
      </c>
    </row>
    <row r="37" spans="1:13" s="4" customFormat="1" ht="20.100000000000001" customHeight="1" x14ac:dyDescent="0.2">
      <c r="A37" s="306"/>
      <c r="B37" s="307"/>
      <c r="C37" s="258"/>
      <c r="D37" s="259"/>
      <c r="E37" s="33"/>
      <c r="F37" s="62" t="s">
        <v>21</v>
      </c>
      <c r="G37" s="63"/>
      <c r="H37" s="134"/>
      <c r="I37" s="64">
        <v>75</v>
      </c>
      <c r="J37" s="64">
        <v>75</v>
      </c>
      <c r="K37" s="64">
        <v>75</v>
      </c>
      <c r="L37" s="64">
        <v>75</v>
      </c>
      <c r="M37" s="63">
        <v>75</v>
      </c>
    </row>
    <row r="38" spans="1:13" s="4" customFormat="1" ht="20.100000000000001" customHeight="1" x14ac:dyDescent="0.2">
      <c r="A38" s="306"/>
      <c r="B38" s="307"/>
      <c r="C38" s="258"/>
      <c r="D38" s="259"/>
      <c r="E38" s="33"/>
      <c r="F38" s="62" t="s">
        <v>193</v>
      </c>
      <c r="G38" s="63"/>
      <c r="H38" s="136"/>
      <c r="I38" s="64">
        <f>I36*0.12</f>
        <v>513.84</v>
      </c>
      <c r="J38" s="64">
        <f t="shared" ref="J38:M38" si="1">J36*0.12</f>
        <v>454.08</v>
      </c>
      <c r="K38" s="64">
        <f t="shared" si="1"/>
        <v>419.88</v>
      </c>
      <c r="L38" s="64">
        <f t="shared" si="1"/>
        <v>308.76</v>
      </c>
      <c r="M38" s="63">
        <f t="shared" si="1"/>
        <v>259.56</v>
      </c>
    </row>
    <row r="39" spans="1:13" s="4" customFormat="1" ht="20.100000000000001" customHeight="1" x14ac:dyDescent="0.2">
      <c r="A39" s="306"/>
      <c r="B39" s="307"/>
      <c r="C39" s="258"/>
      <c r="D39" s="259"/>
      <c r="E39" s="71"/>
      <c r="F39" s="73" t="s">
        <v>18</v>
      </c>
      <c r="G39" s="74"/>
      <c r="H39" s="140"/>
      <c r="I39" s="75">
        <f>SUM(I36:I38)</f>
        <v>4870.84</v>
      </c>
      <c r="J39" s="75">
        <f t="shared" ref="J39:M39" si="2">SUM(J36:J38)</f>
        <v>4313.08</v>
      </c>
      <c r="K39" s="75">
        <f t="shared" si="2"/>
        <v>3993.88</v>
      </c>
      <c r="L39" s="75">
        <f t="shared" si="2"/>
        <v>2956.76</v>
      </c>
      <c r="M39" s="75">
        <f t="shared" si="2"/>
        <v>2497.56</v>
      </c>
    </row>
    <row r="40" spans="1:13" s="4" customFormat="1" ht="20.100000000000001" customHeight="1" x14ac:dyDescent="0.2">
      <c r="A40" s="306"/>
      <c r="B40" s="307"/>
      <c r="C40" s="258"/>
      <c r="D40" s="259"/>
      <c r="E40" s="71"/>
      <c r="F40" s="76"/>
      <c r="G40" s="76"/>
      <c r="H40" s="135"/>
      <c r="I40" s="76"/>
      <c r="J40" s="76"/>
      <c r="K40" s="76"/>
      <c r="L40" s="76"/>
      <c r="M40" s="55"/>
    </row>
    <row r="41" spans="1:13" s="4" customFormat="1" ht="20.100000000000001" customHeight="1" thickBot="1" x14ac:dyDescent="0.25">
      <c r="A41" s="306"/>
      <c r="B41" s="307"/>
      <c r="C41" s="260"/>
      <c r="D41" s="261"/>
      <c r="E41" s="72"/>
      <c r="F41" s="56" t="s">
        <v>26</v>
      </c>
      <c r="G41" s="57"/>
      <c r="H41" s="142"/>
      <c r="I41" s="57"/>
      <c r="J41" s="57"/>
      <c r="K41" s="57"/>
      <c r="L41" s="57"/>
      <c r="M41" s="58"/>
    </row>
    <row r="42" spans="1:13" s="5" customFormat="1" ht="20.100000000000001" customHeight="1" x14ac:dyDescent="0.2">
      <c r="A42" s="306"/>
      <c r="B42" s="307"/>
      <c r="C42" s="301" t="s">
        <v>227</v>
      </c>
      <c r="D42" s="263"/>
      <c r="E42" s="72"/>
      <c r="F42" s="77" t="s">
        <v>15</v>
      </c>
      <c r="G42" s="78"/>
      <c r="H42" s="136"/>
      <c r="I42" s="64">
        <f>VLOOKUP($M$16,Tablas!$A$705:$H$767,4,TRUE)</f>
        <v>1071.1300000000001</v>
      </c>
      <c r="J42" s="64">
        <f>VLOOKUP($M$16,Tablas!$A$705:$H$767,5,TRUE)</f>
        <v>929.62</v>
      </c>
      <c r="K42" s="64">
        <f>VLOOKUP($M$16,Tablas!$A$705:$H$767,6,TRUE)</f>
        <v>849.59</v>
      </c>
      <c r="L42" s="64">
        <f>VLOOKUP($M$16,Tablas!$A$705:$H$767,7,TRUE)</f>
        <v>712.85</v>
      </c>
      <c r="M42" s="63">
        <f>VLOOKUP($M$16,Tablas!$A$705:$H$767,8,TRUE)</f>
        <v>528.41000000000008</v>
      </c>
    </row>
    <row r="43" spans="1:13" s="4" customFormat="1" ht="20.100000000000001" customHeight="1" x14ac:dyDescent="0.2">
      <c r="A43" s="236"/>
      <c r="B43" s="237"/>
      <c r="C43" s="264"/>
      <c r="D43" s="265"/>
      <c r="E43" s="72"/>
      <c r="F43" s="62" t="s">
        <v>16</v>
      </c>
      <c r="G43" s="63"/>
      <c r="H43" s="136"/>
      <c r="I43" s="64">
        <f>IF($J$16=1,0,(VLOOKUP($M$18,Tablas!$A$705:$H$767,4,TRUE)))</f>
        <v>0</v>
      </c>
      <c r="J43" s="64">
        <f>IF($J$16=1,0,(VLOOKUP($M$18,Tablas!$A$705:$H$767,5,TRUE)))</f>
        <v>0</v>
      </c>
      <c r="K43" s="64">
        <f>IF($J$16=1,0,(VLOOKUP($M$18,Tablas!$A$705:$H$767,6,TRUE)))</f>
        <v>0</v>
      </c>
      <c r="L43" s="64">
        <f>IF($J$16=1,0,(VLOOKUP($M$18,Tablas!$A$705:$H$767,7,TRUE)))</f>
        <v>0</v>
      </c>
      <c r="M43" s="63">
        <f>IF($J$16=1,0,(VLOOKUP($M$18,Tablas!$A$705:$H$767,8,TRUE)))</f>
        <v>0</v>
      </c>
    </row>
    <row r="44" spans="1:13" s="5" customFormat="1" ht="20.100000000000001" customHeight="1" x14ac:dyDescent="0.2">
      <c r="A44" s="193" t="s">
        <v>110</v>
      </c>
      <c r="B44" s="193"/>
      <c r="C44" s="195" t="s">
        <v>157</v>
      </c>
      <c r="D44" s="195"/>
      <c r="E44" s="72"/>
      <c r="F44" s="62" t="s">
        <v>17</v>
      </c>
      <c r="G44" s="63"/>
      <c r="H44" s="136"/>
      <c r="I44" s="64">
        <f>IF($J$18=0,0,(VLOOKUP($J$18,Tablas!$A$768:$H$770,4,TRUE)))</f>
        <v>920.08</v>
      </c>
      <c r="J44" s="64">
        <f>IF($J$18=0,0,(VLOOKUP($J$18,Tablas!$A$768:$H$770,5,TRUE)))</f>
        <v>797.65000000000009</v>
      </c>
      <c r="K44" s="64">
        <f>IF($J$18=0,0,(VLOOKUP($J$18,Tablas!$A$768:$H$770,6,TRUE)))</f>
        <v>726.63</v>
      </c>
      <c r="L44" s="64">
        <f>IF($J$18=0,0,(VLOOKUP($J$18,Tablas!$A$768:$H$770,7,TRUE)))</f>
        <v>372.59000000000003</v>
      </c>
      <c r="M44" s="63">
        <f>IF($J$18=0,0,(VLOOKUP($J$18,Tablas!$A$768:$H$770,8,TRUE)))</f>
        <v>339.73</v>
      </c>
    </row>
    <row r="45" spans="1:13" s="4" customFormat="1" ht="20.100000000000001" customHeight="1" x14ac:dyDescent="0.2">
      <c r="A45" s="194" t="s">
        <v>134</v>
      </c>
      <c r="B45" s="194"/>
      <c r="C45" s="197" t="s">
        <v>148</v>
      </c>
      <c r="D45" s="198"/>
      <c r="E45" s="33"/>
      <c r="F45" s="62" t="s">
        <v>20</v>
      </c>
      <c r="G45" s="63"/>
      <c r="H45" s="136"/>
      <c r="I45" s="64">
        <f>+IF($I$20=FALSE,0,Tablas!D$771)</f>
        <v>119.25</v>
      </c>
      <c r="J45" s="64">
        <f>+IF($I$20=FALSE,0,Tablas!E$771)</f>
        <v>119.25</v>
      </c>
      <c r="K45" s="64">
        <f>+IF($I$20=FALSE,0,Tablas!F$771)</f>
        <v>119.25</v>
      </c>
      <c r="L45" s="64">
        <f>+IF($I$20=FALSE,0,Tablas!G$771)</f>
        <v>119.25</v>
      </c>
      <c r="M45" s="63">
        <f>+IF($I$20=FALSE,0,Tablas!H$771)</f>
        <v>119.25</v>
      </c>
    </row>
    <row r="46" spans="1:13" s="4" customFormat="1" ht="20.100000000000001" customHeight="1" x14ac:dyDescent="0.2">
      <c r="A46" s="220" t="s">
        <v>181</v>
      </c>
      <c r="B46" s="220"/>
      <c r="C46" s="282" t="s">
        <v>180</v>
      </c>
      <c r="D46" s="283"/>
      <c r="E46" s="33"/>
      <c r="F46" s="62" t="s">
        <v>23</v>
      </c>
      <c r="G46" s="63"/>
      <c r="H46" s="136"/>
      <c r="I46" s="64">
        <f>IF($I$22=FALSE,0,Tablas!D$772)</f>
        <v>159</v>
      </c>
      <c r="J46" s="64">
        <f>IF($I$22=FALSE,0,Tablas!E$772)</f>
        <v>159</v>
      </c>
      <c r="K46" s="64">
        <f>IF($I$22=FALSE,0,Tablas!F$772)</f>
        <v>159</v>
      </c>
      <c r="L46" s="64">
        <f>IF($I$22=FALSE,0,Tablas!G$772)</f>
        <v>159</v>
      </c>
      <c r="M46" s="63">
        <f>IF($I$22=FALSE,0,Tablas!H$772)</f>
        <v>159</v>
      </c>
    </row>
    <row r="47" spans="1:13" s="4" customFormat="1" ht="20.100000000000001" customHeight="1" x14ac:dyDescent="0.2">
      <c r="A47" s="194" t="s">
        <v>112</v>
      </c>
      <c r="B47" s="194"/>
      <c r="C47" s="197" t="s">
        <v>145</v>
      </c>
      <c r="D47" s="198"/>
      <c r="E47" s="33"/>
      <c r="F47" s="68" t="s">
        <v>19</v>
      </c>
      <c r="G47" s="69"/>
      <c r="H47" s="130"/>
      <c r="I47" s="70">
        <f t="shared" ref="I47:M47" si="3">SUM(I42:I46)</f>
        <v>2269.46</v>
      </c>
      <c r="J47" s="70">
        <f t="shared" si="3"/>
        <v>2005.52</v>
      </c>
      <c r="K47" s="70">
        <f t="shared" si="3"/>
        <v>1854.47</v>
      </c>
      <c r="L47" s="70">
        <f t="shared" si="3"/>
        <v>1363.69</v>
      </c>
      <c r="M47" s="69">
        <f t="shared" si="3"/>
        <v>1146.3900000000001</v>
      </c>
    </row>
    <row r="48" spans="1:13" s="4" customFormat="1" ht="20.100000000000001" customHeight="1" x14ac:dyDescent="0.2">
      <c r="A48" s="220" t="s">
        <v>162</v>
      </c>
      <c r="B48" s="220"/>
      <c r="C48" s="190" t="s">
        <v>163</v>
      </c>
      <c r="D48" s="190"/>
      <c r="E48" s="33"/>
      <c r="F48" s="62" t="s">
        <v>21</v>
      </c>
      <c r="G48" s="63"/>
      <c r="H48" s="134"/>
      <c r="I48" s="64">
        <v>75</v>
      </c>
      <c r="J48" s="64">
        <v>75</v>
      </c>
      <c r="K48" s="64">
        <v>75</v>
      </c>
      <c r="L48" s="64">
        <v>75</v>
      </c>
      <c r="M48" s="63">
        <v>75</v>
      </c>
    </row>
    <row r="49" spans="1:13" s="4" customFormat="1" ht="20.100000000000001" customHeight="1" x14ac:dyDescent="0.2">
      <c r="A49" s="289" t="s">
        <v>154</v>
      </c>
      <c r="B49" s="290"/>
      <c r="C49" s="302" t="s">
        <v>177</v>
      </c>
      <c r="D49" s="303"/>
      <c r="E49" s="33"/>
      <c r="F49" s="62" t="s">
        <v>193</v>
      </c>
      <c r="G49" s="63"/>
      <c r="H49" s="136"/>
      <c r="I49" s="64">
        <f>I47*0.12</f>
        <v>272.33519999999999</v>
      </c>
      <c r="J49" s="64">
        <f t="shared" ref="J49:M49" si="4">J47*0.12</f>
        <v>240.66239999999999</v>
      </c>
      <c r="K49" s="64">
        <f t="shared" si="4"/>
        <v>222.53639999999999</v>
      </c>
      <c r="L49" s="64">
        <f t="shared" si="4"/>
        <v>163.64279999999999</v>
      </c>
      <c r="M49" s="63">
        <f t="shared" si="4"/>
        <v>137.5668</v>
      </c>
    </row>
    <row r="50" spans="1:13" s="4" customFormat="1" ht="20.100000000000001" customHeight="1" x14ac:dyDescent="0.2">
      <c r="A50" s="291"/>
      <c r="B50" s="292"/>
      <c r="C50" s="304"/>
      <c r="D50" s="305"/>
      <c r="E50" s="33"/>
      <c r="F50" s="80" t="s">
        <v>24</v>
      </c>
      <c r="G50" s="81"/>
      <c r="H50" s="138"/>
      <c r="I50" s="82">
        <f>SUM(I47:I49)</f>
        <v>2616.7952</v>
      </c>
      <c r="J50" s="82">
        <f t="shared" ref="J50:M50" si="5">SUM(J47:J49)</f>
        <v>2321.1824000000001</v>
      </c>
      <c r="K50" s="82">
        <f t="shared" si="5"/>
        <v>2152.0064000000002</v>
      </c>
      <c r="L50" s="82">
        <f t="shared" si="5"/>
        <v>1602.3328000000001</v>
      </c>
      <c r="M50" s="82">
        <f t="shared" si="5"/>
        <v>1358.9568000000002</v>
      </c>
    </row>
    <row r="51" spans="1:13" s="5" customFormat="1" ht="20.100000000000001" customHeight="1" x14ac:dyDescent="0.2">
      <c r="A51" s="1"/>
      <c r="B51" s="1"/>
      <c r="C51" s="1"/>
      <c r="D51" s="1"/>
      <c r="E51" s="33"/>
      <c r="F51" s="83" t="s">
        <v>25</v>
      </c>
      <c r="G51" s="84"/>
      <c r="H51" s="139"/>
      <c r="I51" s="85">
        <f>I47+I49</f>
        <v>2541.7952</v>
      </c>
      <c r="J51" s="85">
        <f t="shared" ref="J51:M51" si="6">J47+J49</f>
        <v>2246.1824000000001</v>
      </c>
      <c r="K51" s="85">
        <f t="shared" si="6"/>
        <v>2077.0064000000002</v>
      </c>
      <c r="L51" s="85">
        <f t="shared" si="6"/>
        <v>1527.3328000000001</v>
      </c>
      <c r="M51" s="85">
        <f t="shared" si="6"/>
        <v>1283.9568000000002</v>
      </c>
    </row>
    <row r="52" spans="1:13" s="4" customFormat="1" ht="20.100000000000001" customHeight="1" x14ac:dyDescent="0.25">
      <c r="A52" s="1"/>
      <c r="B52" s="1" t="s">
        <v>4</v>
      </c>
      <c r="C52" s="1"/>
      <c r="D52" s="1"/>
      <c r="E52" s="33"/>
      <c r="F52" s="207" t="s">
        <v>191</v>
      </c>
      <c r="G52" s="208"/>
      <c r="H52" s="208"/>
      <c r="I52" s="208"/>
      <c r="J52" s="208"/>
      <c r="K52" s="208"/>
      <c r="L52" s="208"/>
      <c r="M52" s="209"/>
    </row>
    <row r="53" spans="1:13" s="4" customFormat="1" ht="20.100000000000001" customHeight="1" x14ac:dyDescent="0.2">
      <c r="A53" s="1"/>
      <c r="B53" s="1" t="s">
        <v>4</v>
      </c>
      <c r="C53" s="1"/>
      <c r="D53" s="1"/>
      <c r="E53" s="71"/>
      <c r="F53" s="1"/>
      <c r="G53" s="1"/>
      <c r="H53" s="1"/>
      <c r="I53" s="1"/>
      <c r="J53" s="1"/>
      <c r="K53" s="1"/>
      <c r="L53" s="1"/>
      <c r="M53" s="1"/>
    </row>
    <row r="54" spans="1:13" s="4" customFormat="1" ht="20.100000000000001" customHeight="1" x14ac:dyDescent="0.2">
      <c r="A54" s="1"/>
      <c r="B54" s="1"/>
      <c r="C54" s="1"/>
      <c r="D54" s="1"/>
      <c r="E54" s="71"/>
      <c r="F54" s="1"/>
      <c r="G54" s="1"/>
      <c r="H54" s="1"/>
      <c r="I54" s="1"/>
      <c r="J54" s="1"/>
      <c r="K54" s="1"/>
      <c r="L54" s="1"/>
      <c r="M54" s="1"/>
    </row>
    <row r="55" spans="1:13" s="4" customFormat="1" ht="20.100000000000001" hidden="1" customHeight="1" x14ac:dyDescent="0.2">
      <c r="A55" s="1"/>
      <c r="B55" s="1"/>
      <c r="C55" s="1"/>
      <c r="D55" s="1"/>
      <c r="E55" s="79"/>
      <c r="F55" s="1"/>
      <c r="G55" s="1"/>
      <c r="H55" s="1"/>
      <c r="I55" s="1"/>
      <c r="J55" s="1"/>
      <c r="K55" s="1"/>
      <c r="L55" s="1"/>
      <c r="M55" s="1"/>
    </row>
    <row r="56" spans="1:13" s="5" customFormat="1" ht="20.100000000000001" customHeight="1" x14ac:dyDescent="0.2">
      <c r="A56" s="1"/>
      <c r="B56" s="1"/>
      <c r="C56" s="1"/>
      <c r="D56" s="1"/>
      <c r="E56" s="33"/>
      <c r="F56" s="1"/>
      <c r="G56" s="1"/>
      <c r="H56" s="1"/>
      <c r="I56" s="1"/>
      <c r="J56" s="1"/>
      <c r="K56" s="1"/>
      <c r="L56" s="1"/>
      <c r="M56" s="1"/>
    </row>
    <row r="57" spans="1:13" s="5" customFormat="1" ht="20.100000000000001" customHeight="1" x14ac:dyDescent="0.2">
      <c r="A57" s="1"/>
      <c r="B57" s="1"/>
      <c r="C57" s="1"/>
      <c r="D57" s="1"/>
      <c r="E57" s="36"/>
      <c r="F57" s="1"/>
      <c r="G57" s="1"/>
      <c r="H57" s="1"/>
      <c r="I57" s="1"/>
      <c r="J57" s="1"/>
      <c r="K57" s="1"/>
      <c r="L57" s="1"/>
      <c r="M57" s="1"/>
    </row>
    <row r="58" spans="1:13" ht="20.100000000000001" customHeight="1" x14ac:dyDescent="0.2">
      <c r="E58" s="36"/>
    </row>
  </sheetData>
  <sheetProtection password="9A3C" sheet="1" objects="1" scenarios="1" selectLockedCells="1"/>
  <mergeCells count="63">
    <mergeCell ref="A10:M10"/>
    <mergeCell ref="H12:M12"/>
    <mergeCell ref="H14:M14"/>
    <mergeCell ref="F18:G18"/>
    <mergeCell ref="F17:G17"/>
    <mergeCell ref="A12:D12"/>
    <mergeCell ref="A18:B19"/>
    <mergeCell ref="A13:B13"/>
    <mergeCell ref="A14:B14"/>
    <mergeCell ref="A15:B15"/>
    <mergeCell ref="A16:B16"/>
    <mergeCell ref="A17:B17"/>
    <mergeCell ref="F52:M52"/>
    <mergeCell ref="C13:D13"/>
    <mergeCell ref="C14:D14"/>
    <mergeCell ref="C15:D15"/>
    <mergeCell ref="C16:D16"/>
    <mergeCell ref="C28:D28"/>
    <mergeCell ref="C17:D17"/>
    <mergeCell ref="C21:D21"/>
    <mergeCell ref="C18:D19"/>
    <mergeCell ref="C30:D30"/>
    <mergeCell ref="C31:D31"/>
    <mergeCell ref="C24:D24"/>
    <mergeCell ref="C25:D25"/>
    <mergeCell ref="C20:D20"/>
    <mergeCell ref="C34:D34"/>
    <mergeCell ref="C44:D44"/>
    <mergeCell ref="A20:B20"/>
    <mergeCell ref="A29:B29"/>
    <mergeCell ref="C29:D29"/>
    <mergeCell ref="A33:B33"/>
    <mergeCell ref="C26:D26"/>
    <mergeCell ref="A26:B26"/>
    <mergeCell ref="A27:B27"/>
    <mergeCell ref="C27:D27"/>
    <mergeCell ref="C33:D33"/>
    <mergeCell ref="C22:D22"/>
    <mergeCell ref="C23:D23"/>
    <mergeCell ref="C32:D32"/>
    <mergeCell ref="A28:B28"/>
    <mergeCell ref="A30:B30"/>
    <mergeCell ref="A31:B32"/>
    <mergeCell ref="A21:B22"/>
    <mergeCell ref="A23:B24"/>
    <mergeCell ref="A25:B25"/>
    <mergeCell ref="C36:D41"/>
    <mergeCell ref="A34:B34"/>
    <mergeCell ref="A35:B35"/>
    <mergeCell ref="A36:B43"/>
    <mergeCell ref="C42:D43"/>
    <mergeCell ref="A44:B44"/>
    <mergeCell ref="C35:D35"/>
    <mergeCell ref="C49:D50"/>
    <mergeCell ref="A49:B50"/>
    <mergeCell ref="C47:D47"/>
    <mergeCell ref="C48:D48"/>
    <mergeCell ref="C45:D45"/>
    <mergeCell ref="A47:B47"/>
    <mergeCell ref="A48:B48"/>
    <mergeCell ref="A45:B45"/>
    <mergeCell ref="A46:B46"/>
    <mergeCell ref="C46:D46"/>
  </mergeCells>
  <phoneticPr fontId="5" type="noConversion"/>
  <conditionalFormatting sqref="J16">
    <cfRule type="cellIs" dxfId="11" priority="1" stopIfTrue="1" operator="greaterThan">
      <formula>2</formula>
    </cfRule>
    <cfRule type="cellIs" dxfId="10" priority="2" stopIfTrue="1" operator="lessThan">
      <formula>1</formula>
    </cfRule>
  </conditionalFormatting>
  <conditionalFormatting sqref="M16 M18">
    <cfRule type="cellIs" dxfId="9" priority="3" stopIfTrue="1" operator="greaterThan">
      <formula>73</formula>
    </cfRule>
    <cfRule type="cellIs" dxfId="8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6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3" name="Check Box 10">
              <controlPr locked="0" defaultSize="0" autoFill="0" autoLine="0" autoPict="0">
                <anchor moveWithCells="1">
                  <from>
                    <xdr:col>9</xdr:col>
                    <xdr:colOff>800100</xdr:colOff>
                    <xdr:row>19</xdr:row>
                    <xdr:rowOff>66675</xdr:rowOff>
                  </from>
                  <to>
                    <xdr:col>9</xdr:col>
                    <xdr:colOff>1076325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4" name="Check Box 11">
              <controlPr locked="0" defaultSize="0" autoFill="0" autoLine="0" autoPict="0">
                <anchor moveWithCells="1">
                  <from>
                    <xdr:col>9</xdr:col>
                    <xdr:colOff>809625</xdr:colOff>
                    <xdr:row>21</xdr:row>
                    <xdr:rowOff>66675</xdr:rowOff>
                  </from>
                  <to>
                    <xdr:col>9</xdr:col>
                    <xdr:colOff>1076325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pageSetUpPr fitToPage="1"/>
  </sheetPr>
  <dimension ref="A1:M58"/>
  <sheetViews>
    <sheetView showGridLines="0" zoomScale="70" zoomScaleNormal="70" workbookViewId="0"/>
  </sheetViews>
  <sheetFormatPr baseColWidth="10" defaultColWidth="8.85546875" defaultRowHeight="12.75" x14ac:dyDescent="0.2"/>
  <cols>
    <col min="1" max="1" width="35" style="1" customWidth="1"/>
    <col min="2" max="2" width="16.28515625" style="1" customWidth="1"/>
    <col min="3" max="3" width="22.7109375" style="1" customWidth="1"/>
    <col min="4" max="4" width="26.7109375" style="1" customWidth="1"/>
    <col min="5" max="5" width="1.42578125" style="8" customWidth="1"/>
    <col min="6" max="6" width="16.7109375" style="1" customWidth="1"/>
    <col min="7" max="7" width="18.5703125" style="1" customWidth="1"/>
    <col min="8" max="8" width="8.140625" style="1" bestFit="1" customWidth="1"/>
    <col min="9" max="13" width="16.7109375" style="1" customWidth="1"/>
    <col min="14" max="16384" width="8.85546875" style="1"/>
  </cols>
  <sheetData>
    <row r="1" spans="1:13" ht="12.75" customHeight="1" x14ac:dyDescent="0.2">
      <c r="A1" s="106"/>
      <c r="B1" s="26"/>
      <c r="C1" s="26"/>
      <c r="D1" s="26"/>
      <c r="E1" s="27"/>
      <c r="F1" s="26"/>
      <c r="G1" s="26"/>
      <c r="H1" s="26"/>
      <c r="I1" s="26"/>
      <c r="J1" s="26"/>
      <c r="K1" s="26"/>
      <c r="L1" s="26"/>
      <c r="M1" s="26"/>
    </row>
    <row r="2" spans="1:13" x14ac:dyDescent="0.2">
      <c r="A2" s="26"/>
      <c r="B2" s="26"/>
      <c r="C2" s="26"/>
      <c r="D2" s="26"/>
      <c r="E2" s="27"/>
      <c r="F2" s="26"/>
      <c r="G2" s="26"/>
      <c r="H2" s="26"/>
      <c r="I2" s="26"/>
      <c r="J2" s="26" t="s">
        <v>4</v>
      </c>
      <c r="K2" s="26" t="s">
        <v>4</v>
      </c>
      <c r="L2" s="26" t="s">
        <v>4</v>
      </c>
      <c r="M2" s="26"/>
    </row>
    <row r="3" spans="1:13" x14ac:dyDescent="0.2">
      <c r="A3" s="26"/>
      <c r="B3" s="26"/>
      <c r="C3" s="26"/>
      <c r="D3" s="26"/>
      <c r="E3" s="27"/>
      <c r="F3" s="26"/>
      <c r="G3" s="26"/>
      <c r="H3" s="26"/>
      <c r="I3" s="26"/>
      <c r="J3" s="26"/>
      <c r="K3" s="26"/>
      <c r="L3" s="26"/>
      <c r="M3" s="26"/>
    </row>
    <row r="4" spans="1:13" x14ac:dyDescent="0.2">
      <c r="A4" s="26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</row>
    <row r="5" spans="1:13" x14ac:dyDescent="0.2">
      <c r="A5" s="26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</row>
    <row r="6" spans="1:13" ht="15.75" x14ac:dyDescent="0.25">
      <c r="A6" s="26"/>
      <c r="B6" s="26"/>
      <c r="C6" s="26"/>
      <c r="D6" s="26"/>
      <c r="E6" s="27"/>
      <c r="F6" s="26"/>
      <c r="G6" s="26"/>
      <c r="H6" s="26"/>
      <c r="I6" s="26"/>
      <c r="J6" s="28" t="s">
        <v>4</v>
      </c>
      <c r="K6" s="28" t="s">
        <v>4</v>
      </c>
      <c r="L6" s="28" t="s">
        <v>4</v>
      </c>
      <c r="M6" s="29" t="s">
        <v>4</v>
      </c>
    </row>
    <row r="7" spans="1:13" x14ac:dyDescent="0.2">
      <c r="A7" s="26"/>
      <c r="B7" s="26"/>
      <c r="C7" s="26"/>
      <c r="D7" s="26"/>
      <c r="E7" s="27"/>
      <c r="F7" s="26"/>
      <c r="G7" s="26"/>
      <c r="H7" s="26"/>
      <c r="I7" s="26"/>
      <c r="J7" s="26"/>
      <c r="K7" s="26"/>
      <c r="L7" s="26"/>
      <c r="M7" s="26"/>
    </row>
    <row r="8" spans="1:13" x14ac:dyDescent="0.2">
      <c r="A8" s="26"/>
      <c r="B8" s="26"/>
      <c r="C8" s="26"/>
      <c r="D8" s="26"/>
      <c r="E8" s="27"/>
      <c r="F8" s="26"/>
      <c r="G8" s="26"/>
      <c r="H8" s="26"/>
      <c r="I8" s="26"/>
      <c r="J8" s="26"/>
      <c r="K8" s="26"/>
      <c r="L8" s="26"/>
      <c r="M8" s="26"/>
    </row>
    <row r="9" spans="1:13" x14ac:dyDescent="0.2">
      <c r="A9" s="26"/>
      <c r="B9" s="26"/>
      <c r="C9" s="26"/>
      <c r="D9" s="26"/>
      <c r="E9" s="27"/>
      <c r="F9" s="26"/>
      <c r="G9" s="26"/>
      <c r="H9" s="26"/>
      <c r="I9" s="26"/>
      <c r="J9" s="26"/>
      <c r="K9" s="26"/>
      <c r="L9" s="26"/>
      <c r="M9" s="26"/>
    </row>
    <row r="10" spans="1:13" ht="23.25" x14ac:dyDescent="0.35">
      <c r="A10" s="201" t="s">
        <v>243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r="11" spans="1:13" ht="23.25" x14ac:dyDescent="0.35">
      <c r="A11" s="151"/>
      <c r="B11" s="151"/>
      <c r="C11" s="151"/>
      <c r="D11" s="151"/>
      <c r="E11" s="31"/>
      <c r="F11" s="151"/>
      <c r="G11" s="151"/>
      <c r="H11" s="151"/>
      <c r="I11" s="151"/>
      <c r="J11" s="151"/>
      <c r="K11" s="151"/>
      <c r="L11" s="151"/>
      <c r="M11" s="151"/>
    </row>
    <row r="12" spans="1:13" ht="20.100000000000001" customHeight="1" x14ac:dyDescent="0.35">
      <c r="A12" s="206" t="s">
        <v>242</v>
      </c>
      <c r="B12" s="206"/>
      <c r="C12" s="206"/>
      <c r="D12" s="206"/>
      <c r="E12" s="32"/>
      <c r="F12" s="151"/>
      <c r="G12" s="151"/>
      <c r="H12" s="202" t="str">
        <f>+'INGRESO DE DATOS'!$D$12</f>
        <v>Edgar Lopez</v>
      </c>
      <c r="I12" s="202"/>
      <c r="J12" s="202"/>
      <c r="K12" s="202"/>
      <c r="L12" s="202"/>
      <c r="M12" s="202"/>
    </row>
    <row r="13" spans="1:13" ht="20.100000000000001" customHeight="1" x14ac:dyDescent="0.2">
      <c r="A13" s="193" t="s">
        <v>92</v>
      </c>
      <c r="B13" s="193"/>
      <c r="C13" s="200" t="s">
        <v>228</v>
      </c>
      <c r="D13" s="195"/>
      <c r="E13" s="33"/>
      <c r="F13" s="26"/>
      <c r="G13" s="26"/>
      <c r="H13" s="26"/>
      <c r="I13" s="26"/>
      <c r="J13" s="26"/>
      <c r="K13" s="26"/>
      <c r="L13" s="26"/>
      <c r="M13" s="26"/>
    </row>
    <row r="14" spans="1:13" ht="20.100000000000001" customHeight="1" x14ac:dyDescent="0.35">
      <c r="A14" s="194" t="s">
        <v>183</v>
      </c>
      <c r="B14" s="194"/>
      <c r="C14" s="198" t="s">
        <v>115</v>
      </c>
      <c r="D14" s="198"/>
      <c r="E14" s="33"/>
      <c r="F14" s="151"/>
      <c r="G14" s="151"/>
      <c r="H14" s="202" t="str">
        <f>+'INGRESO DE DATOS'!$D$20</f>
        <v>AGENCIA</v>
      </c>
      <c r="I14" s="202"/>
      <c r="J14" s="202"/>
      <c r="K14" s="202"/>
      <c r="L14" s="202"/>
      <c r="M14" s="202"/>
    </row>
    <row r="15" spans="1:13" ht="20.100000000000001" customHeight="1" x14ac:dyDescent="0.35">
      <c r="A15" s="193" t="s">
        <v>93</v>
      </c>
      <c r="B15" s="193"/>
      <c r="C15" s="195" t="s">
        <v>116</v>
      </c>
      <c r="D15" s="195"/>
      <c r="E15" s="33"/>
      <c r="F15" s="151"/>
      <c r="G15" s="151"/>
      <c r="H15" s="26"/>
      <c r="I15" s="26"/>
      <c r="J15" s="26"/>
      <c r="K15" s="26"/>
      <c r="L15" s="26"/>
      <c r="M15" s="26"/>
    </row>
    <row r="16" spans="1:13" ht="20.100000000000001" customHeight="1" x14ac:dyDescent="0.2">
      <c r="A16" s="194" t="s">
        <v>94</v>
      </c>
      <c r="B16" s="194"/>
      <c r="C16" s="198" t="s">
        <v>246</v>
      </c>
      <c r="D16" s="198"/>
      <c r="E16" s="33"/>
      <c r="F16" s="26"/>
      <c r="G16" s="26"/>
      <c r="H16" s="26"/>
      <c r="I16" s="26"/>
      <c r="J16" s="34">
        <f>+'INGRESO DE DATOS'!$G$14</f>
        <v>1</v>
      </c>
      <c r="K16" s="26"/>
      <c r="L16" s="26"/>
      <c r="M16" s="34">
        <f>+'INGRESO DE DATOS'!$G$16</f>
        <v>38</v>
      </c>
    </row>
    <row r="17" spans="1:13" s="2" customFormat="1" ht="20.100000000000001" customHeight="1" x14ac:dyDescent="0.2">
      <c r="A17" s="193" t="s">
        <v>95</v>
      </c>
      <c r="B17" s="193"/>
      <c r="C17" s="195" t="s">
        <v>218</v>
      </c>
      <c r="D17" s="195"/>
      <c r="E17" s="33"/>
      <c r="F17" s="205" t="s">
        <v>82</v>
      </c>
      <c r="G17" s="205"/>
      <c r="H17" s="35"/>
      <c r="I17" s="35"/>
      <c r="J17" s="35"/>
      <c r="K17" s="35"/>
      <c r="L17" s="35"/>
      <c r="M17" s="35"/>
    </row>
    <row r="18" spans="1:13" s="2" customFormat="1" ht="20.100000000000001" customHeight="1" x14ac:dyDescent="0.2">
      <c r="A18" s="194" t="s">
        <v>96</v>
      </c>
      <c r="B18" s="194"/>
      <c r="C18" s="211" t="s">
        <v>229</v>
      </c>
      <c r="D18" s="211"/>
      <c r="E18" s="36"/>
      <c r="F18" s="203">
        <f ca="1">NOW()</f>
        <v>42160.372851504631</v>
      </c>
      <c r="G18" s="204"/>
      <c r="H18" s="35"/>
      <c r="I18" s="35"/>
      <c r="J18" s="34">
        <f>+'INGRESO DE DATOS'!$J$14</f>
        <v>3</v>
      </c>
      <c r="K18" s="35"/>
      <c r="L18" s="35"/>
      <c r="M18" s="34">
        <f>+'INGRESO DE DATOS'!$J$16</f>
        <v>18</v>
      </c>
    </row>
    <row r="19" spans="1:13" s="6" customFormat="1" ht="20.100000000000001" customHeight="1" x14ac:dyDescent="0.2">
      <c r="A19" s="194"/>
      <c r="B19" s="194"/>
      <c r="C19" s="211"/>
      <c r="D19" s="211"/>
      <c r="E19" s="36"/>
      <c r="F19" s="35"/>
      <c r="G19" s="37"/>
      <c r="H19" s="38"/>
      <c r="I19" s="35"/>
      <c r="J19" s="35" t="s">
        <v>4</v>
      </c>
      <c r="K19" s="35" t="s">
        <v>4</v>
      </c>
      <c r="L19" s="35" t="s">
        <v>4</v>
      </c>
      <c r="M19" s="35"/>
    </row>
    <row r="20" spans="1:13" s="6" customFormat="1" ht="20.100000000000001" customHeight="1" x14ac:dyDescent="0.2">
      <c r="A20" s="193" t="s">
        <v>97</v>
      </c>
      <c r="B20" s="193"/>
      <c r="C20" s="195" t="s">
        <v>118</v>
      </c>
      <c r="D20" s="195"/>
      <c r="E20" s="33"/>
      <c r="F20" s="35"/>
      <c r="G20" s="35"/>
      <c r="H20" s="35"/>
      <c r="I20" s="87" t="b">
        <v>1</v>
      </c>
      <c r="J20" s="35"/>
      <c r="K20" s="40" t="s">
        <v>83</v>
      </c>
      <c r="L20" s="35"/>
      <c r="M20" s="35"/>
    </row>
    <row r="21" spans="1:13" s="6" customFormat="1" ht="20.100000000000001" customHeight="1" x14ac:dyDescent="0.2">
      <c r="A21" s="194" t="s">
        <v>98</v>
      </c>
      <c r="B21" s="194"/>
      <c r="C21" s="210" t="s">
        <v>178</v>
      </c>
      <c r="D21" s="210"/>
      <c r="E21" s="33"/>
      <c r="F21" s="35"/>
      <c r="G21" s="35"/>
      <c r="H21" s="35"/>
      <c r="I21" s="88"/>
      <c r="J21" s="35"/>
      <c r="K21" s="40"/>
      <c r="L21" s="35"/>
      <c r="M21" s="39"/>
    </row>
    <row r="22" spans="1:13" s="7" customFormat="1" ht="20.100000000000001" customHeight="1" x14ac:dyDescent="0.2">
      <c r="A22" s="194"/>
      <c r="B22" s="194"/>
      <c r="C22" s="199" t="s">
        <v>224</v>
      </c>
      <c r="D22" s="199"/>
      <c r="E22" s="33"/>
      <c r="F22" s="26"/>
      <c r="G22" s="26"/>
      <c r="H22" s="26"/>
      <c r="I22" s="87" t="b">
        <v>1</v>
      </c>
      <c r="J22" s="26"/>
      <c r="K22" s="41" t="s">
        <v>84</v>
      </c>
      <c r="L22" s="26"/>
      <c r="M22" s="26"/>
    </row>
    <row r="23" spans="1:13" s="7" customFormat="1" ht="20.100000000000001" customHeight="1" x14ac:dyDescent="0.2">
      <c r="A23" s="193" t="s">
        <v>99</v>
      </c>
      <c r="B23" s="193"/>
      <c r="C23" s="247" t="s">
        <v>178</v>
      </c>
      <c r="D23" s="247"/>
      <c r="E23" s="33"/>
      <c r="F23" s="26"/>
      <c r="G23" s="26"/>
      <c r="H23" s="26"/>
      <c r="I23" s="26"/>
      <c r="J23" s="39"/>
      <c r="K23" s="41"/>
      <c r="L23" s="26"/>
      <c r="M23" s="26"/>
    </row>
    <row r="24" spans="1:13" s="7" customFormat="1" ht="20.100000000000001" customHeight="1" x14ac:dyDescent="0.2">
      <c r="A24" s="193"/>
      <c r="B24" s="193"/>
      <c r="C24" s="231" t="s">
        <v>224</v>
      </c>
      <c r="D24" s="231"/>
      <c r="E24" s="33"/>
      <c r="F24" s="26"/>
      <c r="G24" s="42" t="s">
        <v>4</v>
      </c>
      <c r="H24" s="26"/>
      <c r="I24" s="26"/>
      <c r="J24" s="26"/>
      <c r="K24" s="26"/>
      <c r="L24" s="26"/>
      <c r="M24" s="26"/>
    </row>
    <row r="25" spans="1:13" s="3" customFormat="1" ht="20.100000000000001" customHeight="1" x14ac:dyDescent="0.25">
      <c r="A25" s="194" t="s">
        <v>100</v>
      </c>
      <c r="B25" s="194"/>
      <c r="C25" s="198" t="s">
        <v>160</v>
      </c>
      <c r="D25" s="198"/>
      <c r="E25" s="33"/>
      <c r="F25" s="43" t="s">
        <v>91</v>
      </c>
      <c r="G25" s="44"/>
      <c r="H25" s="145"/>
      <c r="I25" s="147" t="s">
        <v>85</v>
      </c>
      <c r="J25" s="147" t="s">
        <v>86</v>
      </c>
      <c r="K25" s="147" t="s">
        <v>87</v>
      </c>
      <c r="L25" s="147" t="s">
        <v>88</v>
      </c>
      <c r="M25" s="147" t="s">
        <v>89</v>
      </c>
    </row>
    <row r="26" spans="1:13" s="4" customFormat="1" ht="20.100000000000001" customHeight="1" x14ac:dyDescent="0.2">
      <c r="A26" s="193" t="s">
        <v>101</v>
      </c>
      <c r="B26" s="193"/>
      <c r="C26" s="195" t="s">
        <v>230</v>
      </c>
      <c r="D26" s="195"/>
      <c r="E26" s="33"/>
      <c r="F26" s="47" t="s">
        <v>176</v>
      </c>
      <c r="G26" s="48"/>
      <c r="H26" s="129"/>
      <c r="I26" s="48">
        <v>250</v>
      </c>
      <c r="J26" s="48">
        <v>500</v>
      </c>
      <c r="K26" s="48">
        <v>1000</v>
      </c>
      <c r="L26" s="48">
        <v>2000</v>
      </c>
      <c r="M26" s="49">
        <v>5000</v>
      </c>
    </row>
    <row r="27" spans="1:13" s="4" customFormat="1" ht="20.100000000000001" customHeight="1" x14ac:dyDescent="0.2">
      <c r="A27" s="194" t="s">
        <v>102</v>
      </c>
      <c r="B27" s="194"/>
      <c r="C27" s="198" t="s">
        <v>214</v>
      </c>
      <c r="D27" s="198"/>
      <c r="E27" s="33"/>
      <c r="F27" s="50" t="s">
        <v>175</v>
      </c>
      <c r="G27" s="51"/>
      <c r="H27" s="131"/>
      <c r="I27" s="52">
        <v>500</v>
      </c>
      <c r="J27" s="52">
        <v>1000</v>
      </c>
      <c r="K27" s="52">
        <v>2000</v>
      </c>
      <c r="L27" s="52">
        <v>4000</v>
      </c>
      <c r="M27" s="53">
        <v>5000</v>
      </c>
    </row>
    <row r="28" spans="1:13" s="4" customFormat="1" ht="20.100000000000001" customHeight="1" x14ac:dyDescent="0.2">
      <c r="A28" s="193" t="s">
        <v>103</v>
      </c>
      <c r="B28" s="193"/>
      <c r="C28" s="200">
        <v>25000</v>
      </c>
      <c r="D28" s="195"/>
      <c r="E28" s="33"/>
      <c r="F28" s="54"/>
      <c r="G28" s="54"/>
      <c r="H28" s="132"/>
      <c r="I28" s="54"/>
      <c r="J28" s="54"/>
      <c r="K28" s="54"/>
      <c r="L28" s="54"/>
      <c r="M28" s="54"/>
    </row>
    <row r="29" spans="1:13" s="4" customFormat="1" ht="20.100000000000001" customHeight="1" x14ac:dyDescent="0.2">
      <c r="A29" s="194" t="s">
        <v>104</v>
      </c>
      <c r="B29" s="194"/>
      <c r="C29" s="200">
        <v>100000</v>
      </c>
      <c r="D29" s="195"/>
      <c r="E29" s="33"/>
      <c r="F29" s="55"/>
      <c r="G29" s="55"/>
      <c r="H29" s="133"/>
      <c r="I29" s="55"/>
      <c r="J29" s="55"/>
      <c r="K29" s="55"/>
      <c r="L29" s="55"/>
      <c r="M29" s="55"/>
    </row>
    <row r="30" spans="1:13" s="5" customFormat="1" ht="20.100000000000001" customHeight="1" x14ac:dyDescent="0.2">
      <c r="A30" s="193" t="s">
        <v>105</v>
      </c>
      <c r="B30" s="193"/>
      <c r="C30" s="196" t="s">
        <v>231</v>
      </c>
      <c r="D30" s="196"/>
      <c r="E30" s="33"/>
      <c r="F30" s="56" t="s">
        <v>27</v>
      </c>
      <c r="G30" s="57"/>
      <c r="H30" s="142"/>
      <c r="I30" s="57"/>
      <c r="J30" s="57"/>
      <c r="K30" s="57"/>
      <c r="L30" s="57"/>
      <c r="M30" s="58"/>
    </row>
    <row r="31" spans="1:13" s="4" customFormat="1" ht="20.100000000000001" customHeight="1" x14ac:dyDescent="0.2">
      <c r="A31" s="194" t="s">
        <v>179</v>
      </c>
      <c r="B31" s="194"/>
      <c r="C31" s="210" t="s">
        <v>140</v>
      </c>
      <c r="D31" s="210"/>
      <c r="E31" s="33"/>
      <c r="F31" s="25" t="s">
        <v>15</v>
      </c>
      <c r="G31" s="59"/>
      <c r="H31" s="130"/>
      <c r="I31" s="60">
        <f>VLOOKUP($M$16,Tablas!$A$778:$H$840,4,TRUE)</f>
        <v>1622</v>
      </c>
      <c r="J31" s="60">
        <f>VLOOKUP($M$16,Tablas!$A$778:$H$840,5,TRUE)</f>
        <v>1589</v>
      </c>
      <c r="K31" s="60">
        <f>VLOOKUP($M$16,Tablas!$A$778:$H$840,6,TRUE)</f>
        <v>1497</v>
      </c>
      <c r="L31" s="60">
        <f>VLOOKUP($M$16,Tablas!$A$778:$H$840,7,TRUE)</f>
        <v>1366</v>
      </c>
      <c r="M31" s="59">
        <f>VLOOKUP($M$16,Tablas!$A$778:$H$840,8,TRUE)</f>
        <v>1144</v>
      </c>
    </row>
    <row r="32" spans="1:13" s="4" customFormat="1" ht="20.100000000000001" customHeight="1" x14ac:dyDescent="0.2">
      <c r="A32" s="194"/>
      <c r="B32" s="194"/>
      <c r="C32" s="199" t="s">
        <v>192</v>
      </c>
      <c r="D32" s="199"/>
      <c r="E32" s="61"/>
      <c r="F32" s="62" t="s">
        <v>16</v>
      </c>
      <c r="G32" s="63"/>
      <c r="H32" s="134"/>
      <c r="I32" s="64">
        <f>IF($J$16=1,0,(VLOOKUP($M$18,Tablas!$A$778:$H$840,4,TRUE)))</f>
        <v>0</v>
      </c>
      <c r="J32" s="64">
        <f>IF($J$16=1,0,(VLOOKUP($M$18,Tablas!$A$778:$H$840,5,TRUE)))</f>
        <v>0</v>
      </c>
      <c r="K32" s="64">
        <f>IF($J$16=1,0,(VLOOKUP($M$18,Tablas!$A$633:$H$656,6,TRUE)))</f>
        <v>0</v>
      </c>
      <c r="L32" s="64">
        <f>IF($J$16=1,0,(VLOOKUP($M$18,Tablas!$A$778:$H$840,7,TRUE)))</f>
        <v>0</v>
      </c>
      <c r="M32" s="63">
        <f>IF($J$16=1,0,(VLOOKUP($M$18,Tablas!$A$778:$H$840,8,TRUE)))</f>
        <v>0</v>
      </c>
    </row>
    <row r="33" spans="1:13" s="4" customFormat="1" ht="20.100000000000001" customHeight="1" x14ac:dyDescent="0.2">
      <c r="A33" s="193" t="s">
        <v>106</v>
      </c>
      <c r="B33" s="193"/>
      <c r="C33" s="195" t="s">
        <v>177</v>
      </c>
      <c r="D33" s="195"/>
      <c r="E33" s="33"/>
      <c r="F33" s="65" t="s">
        <v>17</v>
      </c>
      <c r="G33" s="66"/>
      <c r="H33" s="134"/>
      <c r="I33" s="67">
        <f>IF($J$18=0,0,(VLOOKUP($J$18,Tablas!$A$841:$H$843,4,TRUE)))</f>
        <v>1393</v>
      </c>
      <c r="J33" s="67">
        <f>IF($J$18=0,0,(VLOOKUP($J$18,Tablas!$A$841:$H$843,5,TRUE)))</f>
        <v>1364</v>
      </c>
      <c r="K33" s="67">
        <f>IF($J$18=0,0,(VLOOKUP($J$18,Tablas!$A$841:$H$843,6,TRUE)))</f>
        <v>1285</v>
      </c>
      <c r="L33" s="67">
        <f>IF($J$18=0,0,(VLOOKUP($J$18,Tablas!$A$841:$H$843,7,TRUE)))</f>
        <v>1173</v>
      </c>
      <c r="M33" s="66">
        <f>IF($J$18=0,0,(VLOOKUP($J$18,Tablas!$A$841:$H$843,8,TRUE)))</f>
        <v>597</v>
      </c>
    </row>
    <row r="34" spans="1:13" s="4" customFormat="1" ht="20.100000000000001" customHeight="1" x14ac:dyDescent="0.2">
      <c r="A34" s="194" t="s">
        <v>107</v>
      </c>
      <c r="B34" s="194"/>
      <c r="C34" s="197" t="s">
        <v>232</v>
      </c>
      <c r="D34" s="198"/>
      <c r="E34" s="33"/>
      <c r="F34" s="62" t="s">
        <v>20</v>
      </c>
      <c r="G34" s="63"/>
      <c r="H34" s="134"/>
      <c r="I34" s="64">
        <f>+IF($I$20=FALSE,0,Tablas!D$844)</f>
        <v>225</v>
      </c>
      <c r="J34" s="64">
        <f>+IF($I$20=FALSE,0,Tablas!E$844)</f>
        <v>225</v>
      </c>
      <c r="K34" s="64">
        <f>+IF($I$20=FALSE,0,Tablas!F$844)</f>
        <v>225</v>
      </c>
      <c r="L34" s="64">
        <f>+IF($I$20=FALSE,0,Tablas!G$844)</f>
        <v>225</v>
      </c>
      <c r="M34" s="66">
        <f>+IF($I$20=FALSE,0,Tablas!H$844)</f>
        <v>225</v>
      </c>
    </row>
    <row r="35" spans="1:13" s="4" customFormat="1" ht="20.100000000000001" customHeight="1" x14ac:dyDescent="0.2">
      <c r="A35" s="193" t="s">
        <v>108</v>
      </c>
      <c r="B35" s="193"/>
      <c r="C35" s="200">
        <v>5000</v>
      </c>
      <c r="D35" s="195"/>
      <c r="E35" s="33"/>
      <c r="F35" s="62" t="s">
        <v>23</v>
      </c>
      <c r="G35" s="63"/>
      <c r="H35" s="134"/>
      <c r="I35" s="64">
        <f>IF($I$22=FALSE,0,Tablas!D$845)</f>
        <v>300</v>
      </c>
      <c r="J35" s="64">
        <f>IF($I$22=FALSE,0,Tablas!E$845)</f>
        <v>300</v>
      </c>
      <c r="K35" s="64">
        <f>IF($I$22=FALSE,0,Tablas!F$845)</f>
        <v>300</v>
      </c>
      <c r="L35" s="64">
        <f>IF($I$22=FALSE,0,Tablas!G$845)</f>
        <v>300</v>
      </c>
      <c r="M35" s="66">
        <f>IF($I$22=FALSE,0,Tablas!H$845)</f>
        <v>300</v>
      </c>
    </row>
    <row r="36" spans="1:13" s="5" customFormat="1" ht="20.100000000000001" customHeight="1" x14ac:dyDescent="0.2">
      <c r="A36" s="234" t="s">
        <v>109</v>
      </c>
      <c r="B36" s="235"/>
      <c r="C36" s="256" t="s">
        <v>233</v>
      </c>
      <c r="D36" s="257"/>
      <c r="E36" s="33"/>
      <c r="F36" s="68" t="s">
        <v>19</v>
      </c>
      <c r="G36" s="69"/>
      <c r="H36" s="130"/>
      <c r="I36" s="70">
        <f t="shared" ref="I36:M36" si="0">SUM(I31:I35)</f>
        <v>3540</v>
      </c>
      <c r="J36" s="70">
        <f t="shared" si="0"/>
        <v>3478</v>
      </c>
      <c r="K36" s="70">
        <f t="shared" si="0"/>
        <v>3307</v>
      </c>
      <c r="L36" s="70">
        <f t="shared" si="0"/>
        <v>3064</v>
      </c>
      <c r="M36" s="69">
        <f t="shared" si="0"/>
        <v>2266</v>
      </c>
    </row>
    <row r="37" spans="1:13" s="4" customFormat="1" ht="20.100000000000001" customHeight="1" x14ac:dyDescent="0.2">
      <c r="A37" s="306"/>
      <c r="B37" s="307"/>
      <c r="C37" s="258"/>
      <c r="D37" s="259"/>
      <c r="E37" s="33"/>
      <c r="F37" s="62" t="s">
        <v>21</v>
      </c>
      <c r="G37" s="63"/>
      <c r="H37" s="134"/>
      <c r="I37" s="64">
        <v>75</v>
      </c>
      <c r="J37" s="64">
        <v>75</v>
      </c>
      <c r="K37" s="64">
        <v>75</v>
      </c>
      <c r="L37" s="64">
        <v>75</v>
      </c>
      <c r="M37" s="63">
        <v>75</v>
      </c>
    </row>
    <row r="38" spans="1:13" s="4" customFormat="1" ht="20.100000000000001" customHeight="1" x14ac:dyDescent="0.2">
      <c r="A38" s="306"/>
      <c r="B38" s="307"/>
      <c r="C38" s="258"/>
      <c r="D38" s="259"/>
      <c r="E38" s="33"/>
      <c r="F38" s="62" t="s">
        <v>193</v>
      </c>
      <c r="G38" s="63"/>
      <c r="H38" s="136"/>
      <c r="I38" s="64">
        <f>I36*0.12</f>
        <v>424.8</v>
      </c>
      <c r="J38" s="64">
        <f t="shared" ref="J38:M38" si="1">J36*0.12</f>
        <v>417.35999999999996</v>
      </c>
      <c r="K38" s="64">
        <f t="shared" si="1"/>
        <v>396.84</v>
      </c>
      <c r="L38" s="64">
        <f t="shared" si="1"/>
        <v>367.68</v>
      </c>
      <c r="M38" s="63">
        <f t="shared" si="1"/>
        <v>271.92</v>
      </c>
    </row>
    <row r="39" spans="1:13" s="4" customFormat="1" ht="20.100000000000001" customHeight="1" x14ac:dyDescent="0.2">
      <c r="A39" s="306"/>
      <c r="B39" s="307"/>
      <c r="C39" s="258"/>
      <c r="D39" s="259"/>
      <c r="E39" s="71"/>
      <c r="F39" s="73" t="s">
        <v>18</v>
      </c>
      <c r="G39" s="74"/>
      <c r="H39" s="140"/>
      <c r="I39" s="75">
        <f>SUM(I36:I38)</f>
        <v>4039.8</v>
      </c>
      <c r="J39" s="75">
        <f t="shared" ref="J39:M39" si="2">SUM(J36:J38)</f>
        <v>3970.36</v>
      </c>
      <c r="K39" s="75">
        <f t="shared" si="2"/>
        <v>3778.84</v>
      </c>
      <c r="L39" s="75">
        <f t="shared" si="2"/>
        <v>3506.68</v>
      </c>
      <c r="M39" s="75">
        <f t="shared" si="2"/>
        <v>2612.92</v>
      </c>
    </row>
    <row r="40" spans="1:13" s="4" customFormat="1" ht="20.100000000000001" customHeight="1" x14ac:dyDescent="0.2">
      <c r="A40" s="306"/>
      <c r="B40" s="307"/>
      <c r="C40" s="258"/>
      <c r="D40" s="259"/>
      <c r="E40" s="71"/>
      <c r="F40" s="76"/>
      <c r="G40" s="76"/>
      <c r="H40" s="135"/>
      <c r="I40" s="76"/>
      <c r="J40" s="76"/>
      <c r="K40" s="76"/>
      <c r="L40" s="76"/>
      <c r="M40" s="55"/>
    </row>
    <row r="41" spans="1:13" s="4" customFormat="1" ht="20.100000000000001" customHeight="1" thickBot="1" x14ac:dyDescent="0.25">
      <c r="A41" s="306"/>
      <c r="B41" s="307"/>
      <c r="C41" s="260"/>
      <c r="D41" s="261"/>
      <c r="E41" s="72"/>
      <c r="F41" s="56" t="s">
        <v>26</v>
      </c>
      <c r="G41" s="57"/>
      <c r="H41" s="142"/>
      <c r="I41" s="57"/>
      <c r="J41" s="57"/>
      <c r="K41" s="57"/>
      <c r="L41" s="57"/>
      <c r="M41" s="58"/>
    </row>
    <row r="42" spans="1:13" s="5" customFormat="1" ht="20.100000000000001" customHeight="1" x14ac:dyDescent="0.2">
      <c r="A42" s="306"/>
      <c r="B42" s="307"/>
      <c r="C42" s="301" t="s">
        <v>234</v>
      </c>
      <c r="D42" s="263"/>
      <c r="E42" s="72"/>
      <c r="F42" s="77" t="s">
        <v>15</v>
      </c>
      <c r="G42" s="78"/>
      <c r="H42" s="136"/>
      <c r="I42" s="64">
        <f>VLOOKUP($M$16,Tablas!$A$850:$H$912,4,TRUE)</f>
        <v>859.66000000000008</v>
      </c>
      <c r="J42" s="64">
        <f>VLOOKUP($M$16,Tablas!$A$850:$H$912,5,TRUE)</f>
        <v>842.17000000000007</v>
      </c>
      <c r="K42" s="64">
        <f>VLOOKUP($M$16,Tablas!$A$850:$H$912,6,TRUE)</f>
        <v>793.41000000000008</v>
      </c>
      <c r="L42" s="64">
        <f>VLOOKUP($M$16,Tablas!$A$850:$H$912,7,TRUE)</f>
        <v>723.98</v>
      </c>
      <c r="M42" s="63">
        <f>VLOOKUP($M$16,Tablas!$A$850:$H$912,8,TRUE)</f>
        <v>606.32000000000005</v>
      </c>
    </row>
    <row r="43" spans="1:13" s="4" customFormat="1" ht="20.100000000000001" customHeight="1" x14ac:dyDescent="0.2">
      <c r="A43" s="236"/>
      <c r="B43" s="237"/>
      <c r="C43" s="264"/>
      <c r="D43" s="265"/>
      <c r="E43" s="72"/>
      <c r="F43" s="62" t="s">
        <v>16</v>
      </c>
      <c r="G43" s="63"/>
      <c r="H43" s="136"/>
      <c r="I43" s="64">
        <f>IF($J$16=1,0,(VLOOKUP($M$18,Tablas!$A$850:$H$912,4,TRUE)))</f>
        <v>0</v>
      </c>
      <c r="J43" s="64">
        <f>IF($J$16=1,0,(VLOOKUP($M$18,Tablas!$A$850:$H$912,5,TRUE)))</f>
        <v>0</v>
      </c>
      <c r="K43" s="64">
        <f>IF($J$16=1,0,(VLOOKUP($M$18,Tablas!$A$850:$H$912,6,TRUE)))</f>
        <v>0</v>
      </c>
      <c r="L43" s="64">
        <f>IF($J$16=1,0,(VLOOKUP($M$18,Tablas!$A$850:$H$912,7,TRUE)))</f>
        <v>0</v>
      </c>
      <c r="M43" s="63">
        <f>IF($J$16=1,0,(VLOOKUP($M$18,Tablas!$A$850:$H$912,8,TRUE)))</f>
        <v>0</v>
      </c>
    </row>
    <row r="44" spans="1:13" s="5" customFormat="1" ht="20.100000000000001" customHeight="1" x14ac:dyDescent="0.2">
      <c r="A44" s="193" t="s">
        <v>110</v>
      </c>
      <c r="B44" s="193"/>
      <c r="C44" s="195" t="s">
        <v>157</v>
      </c>
      <c r="D44" s="195"/>
      <c r="E44" s="72"/>
      <c r="F44" s="62" t="s">
        <v>17</v>
      </c>
      <c r="G44" s="63"/>
      <c r="H44" s="136"/>
      <c r="I44" s="64">
        <f>IF($J$18=0,0,(VLOOKUP($J$18,Tablas!$A$913:$H$915,4,TRUE)))</f>
        <v>738.29000000000008</v>
      </c>
      <c r="J44" s="64">
        <f>IF($J$18=0,0,(VLOOKUP($J$18,Tablas!$A$913:$H$915,5,TRUE)))</f>
        <v>722.92000000000007</v>
      </c>
      <c r="K44" s="64">
        <f>IF($J$18=0,0,(VLOOKUP($J$18,Tablas!$A$913:$H$915,6,TRUE)))</f>
        <v>681.05000000000007</v>
      </c>
      <c r="L44" s="64">
        <f>IF($J$18=0,0,(VLOOKUP($J$18,Tablas!$A$913:$H$915,7,TRUE)))</f>
        <v>621.69000000000005</v>
      </c>
      <c r="M44" s="63">
        <f>IF($J$18=0,0,(VLOOKUP($J$18,Tablas!$A$913:$H$915,8,TRUE)))</f>
        <v>316.41000000000003</v>
      </c>
    </row>
    <row r="45" spans="1:13" s="4" customFormat="1" ht="20.100000000000001" customHeight="1" x14ac:dyDescent="0.2">
      <c r="A45" s="194" t="s">
        <v>134</v>
      </c>
      <c r="B45" s="194"/>
      <c r="C45" s="197" t="s">
        <v>235</v>
      </c>
      <c r="D45" s="198"/>
      <c r="E45" s="33"/>
      <c r="F45" s="62" t="s">
        <v>20</v>
      </c>
      <c r="G45" s="63"/>
      <c r="H45" s="136"/>
      <c r="I45" s="64">
        <f>+IF($I$20=FALSE,0,Tablas!D$916)</f>
        <v>119.25</v>
      </c>
      <c r="J45" s="64">
        <f>+IF($I$20=FALSE,0,Tablas!E$916)</f>
        <v>119.25</v>
      </c>
      <c r="K45" s="64">
        <f>+IF($I$20=FALSE,0,Tablas!F$916)</f>
        <v>119.25</v>
      </c>
      <c r="L45" s="64">
        <f>+IF($I$20=FALSE,0,Tablas!G$916)</f>
        <v>119.25</v>
      </c>
      <c r="M45" s="63">
        <f>+IF($I$20=FALSE,0,Tablas!H$916)</f>
        <v>119.25</v>
      </c>
    </row>
    <row r="46" spans="1:13" s="4" customFormat="1" ht="20.100000000000001" customHeight="1" x14ac:dyDescent="0.2">
      <c r="A46" s="220" t="s">
        <v>181</v>
      </c>
      <c r="B46" s="220"/>
      <c r="C46" s="282" t="s">
        <v>180</v>
      </c>
      <c r="D46" s="283"/>
      <c r="E46" s="33"/>
      <c r="F46" s="62" t="s">
        <v>23</v>
      </c>
      <c r="G46" s="63"/>
      <c r="H46" s="136"/>
      <c r="I46" s="64">
        <f>IF($I$22=FALSE,0,Tablas!D$917)</f>
        <v>159</v>
      </c>
      <c r="J46" s="64">
        <f>IF($I$22=FALSE,0,Tablas!E$917)</f>
        <v>159</v>
      </c>
      <c r="K46" s="64">
        <f>IF($I$22=FALSE,0,Tablas!F$917)</f>
        <v>159</v>
      </c>
      <c r="L46" s="64">
        <f>IF($I$22=FALSE,0,Tablas!G$917)</f>
        <v>159</v>
      </c>
      <c r="M46" s="63">
        <f>IF($I$22=FALSE,0,Tablas!H$917)</f>
        <v>159</v>
      </c>
    </row>
    <row r="47" spans="1:13" s="4" customFormat="1" ht="20.100000000000001" customHeight="1" x14ac:dyDescent="0.2">
      <c r="A47" s="194" t="s">
        <v>112</v>
      </c>
      <c r="B47" s="194"/>
      <c r="C47" s="197" t="s">
        <v>145</v>
      </c>
      <c r="D47" s="198"/>
      <c r="E47" s="33"/>
      <c r="F47" s="68" t="s">
        <v>19</v>
      </c>
      <c r="G47" s="69"/>
      <c r="H47" s="130"/>
      <c r="I47" s="70">
        <f t="shared" ref="I47:M47" si="3">SUM(I42:I46)</f>
        <v>1876.2000000000003</v>
      </c>
      <c r="J47" s="70">
        <f t="shared" si="3"/>
        <v>1843.3400000000001</v>
      </c>
      <c r="K47" s="70">
        <f t="shared" si="3"/>
        <v>1752.71</v>
      </c>
      <c r="L47" s="70">
        <f t="shared" si="3"/>
        <v>1623.92</v>
      </c>
      <c r="M47" s="69">
        <f t="shared" si="3"/>
        <v>1200.98</v>
      </c>
    </row>
    <row r="48" spans="1:13" s="4" customFormat="1" ht="20.100000000000001" customHeight="1" x14ac:dyDescent="0.2">
      <c r="A48" s="220" t="s">
        <v>162</v>
      </c>
      <c r="B48" s="220"/>
      <c r="C48" s="190" t="s">
        <v>163</v>
      </c>
      <c r="D48" s="190"/>
      <c r="E48" s="33"/>
      <c r="F48" s="62" t="s">
        <v>21</v>
      </c>
      <c r="G48" s="63"/>
      <c r="H48" s="134"/>
      <c r="I48" s="64">
        <v>75</v>
      </c>
      <c r="J48" s="64">
        <v>75</v>
      </c>
      <c r="K48" s="64">
        <v>75</v>
      </c>
      <c r="L48" s="64">
        <v>75</v>
      </c>
      <c r="M48" s="63">
        <v>75</v>
      </c>
    </row>
    <row r="49" spans="1:13" s="4" customFormat="1" ht="20.100000000000001" customHeight="1" x14ac:dyDescent="0.2">
      <c r="A49" s="289" t="s">
        <v>154</v>
      </c>
      <c r="B49" s="290"/>
      <c r="C49" s="302" t="s">
        <v>177</v>
      </c>
      <c r="D49" s="303"/>
      <c r="E49" s="33"/>
      <c r="F49" s="62" t="s">
        <v>193</v>
      </c>
      <c r="G49" s="63"/>
      <c r="H49" s="136"/>
      <c r="I49" s="64">
        <f>I47*0.12</f>
        <v>225.14400000000003</v>
      </c>
      <c r="J49" s="64">
        <f t="shared" ref="J49:M49" si="4">J47*0.12</f>
        <v>221.20080000000002</v>
      </c>
      <c r="K49" s="64">
        <f t="shared" si="4"/>
        <v>210.3252</v>
      </c>
      <c r="L49" s="64">
        <f t="shared" si="4"/>
        <v>194.87039999999999</v>
      </c>
      <c r="M49" s="63">
        <f t="shared" si="4"/>
        <v>144.11760000000001</v>
      </c>
    </row>
    <row r="50" spans="1:13" s="4" customFormat="1" ht="20.100000000000001" customHeight="1" x14ac:dyDescent="0.2">
      <c r="A50" s="291"/>
      <c r="B50" s="292"/>
      <c r="C50" s="304"/>
      <c r="D50" s="305"/>
      <c r="E50" s="33"/>
      <c r="F50" s="80" t="s">
        <v>24</v>
      </c>
      <c r="G50" s="81"/>
      <c r="H50" s="138"/>
      <c r="I50" s="82">
        <f>SUM(I47:I49)</f>
        <v>2176.3440000000005</v>
      </c>
      <c r="J50" s="82">
        <f t="shared" ref="J50:M50" si="5">SUM(J47:J49)</f>
        <v>2139.5408000000002</v>
      </c>
      <c r="K50" s="82">
        <f t="shared" si="5"/>
        <v>2038.0352</v>
      </c>
      <c r="L50" s="82">
        <f t="shared" si="5"/>
        <v>1893.7904000000001</v>
      </c>
      <c r="M50" s="82">
        <f t="shared" si="5"/>
        <v>1420.0976000000001</v>
      </c>
    </row>
    <row r="51" spans="1:13" s="5" customFormat="1" ht="20.100000000000001" customHeight="1" x14ac:dyDescent="0.2">
      <c r="A51" s="1"/>
      <c r="B51" s="1"/>
      <c r="C51" s="1"/>
      <c r="D51" s="1"/>
      <c r="E51" s="33"/>
      <c r="F51" s="83" t="s">
        <v>25</v>
      </c>
      <c r="G51" s="84"/>
      <c r="H51" s="139"/>
      <c r="I51" s="85">
        <f>I47+I49</f>
        <v>2101.3440000000005</v>
      </c>
      <c r="J51" s="85">
        <f t="shared" ref="J51:M51" si="6">J47+J49</f>
        <v>2064.5408000000002</v>
      </c>
      <c r="K51" s="85">
        <f t="shared" si="6"/>
        <v>1963.0352</v>
      </c>
      <c r="L51" s="85">
        <f t="shared" si="6"/>
        <v>1818.7904000000001</v>
      </c>
      <c r="M51" s="85">
        <f t="shared" si="6"/>
        <v>1345.0976000000001</v>
      </c>
    </row>
    <row r="52" spans="1:13" s="4" customFormat="1" ht="20.100000000000001" customHeight="1" x14ac:dyDescent="0.25">
      <c r="A52" s="1"/>
      <c r="B52" s="1" t="s">
        <v>4</v>
      </c>
      <c r="C52" s="1"/>
      <c r="D52" s="1"/>
      <c r="E52" s="33"/>
      <c r="F52" s="207" t="s">
        <v>191</v>
      </c>
      <c r="G52" s="208"/>
      <c r="H52" s="208"/>
      <c r="I52" s="208"/>
      <c r="J52" s="208"/>
      <c r="K52" s="208"/>
      <c r="L52" s="208"/>
      <c r="M52" s="209"/>
    </row>
    <row r="53" spans="1:13" s="4" customFormat="1" ht="20.100000000000001" customHeight="1" x14ac:dyDescent="0.2">
      <c r="A53" s="1"/>
      <c r="B53" s="1" t="s">
        <v>4</v>
      </c>
      <c r="C53" s="1"/>
      <c r="D53" s="1"/>
      <c r="E53" s="71"/>
      <c r="F53" s="1"/>
      <c r="G53" s="1"/>
      <c r="H53" s="1"/>
      <c r="I53" s="1"/>
      <c r="J53" s="1"/>
      <c r="K53" s="1"/>
      <c r="L53" s="1"/>
      <c r="M53" s="1"/>
    </row>
    <row r="54" spans="1:13" s="4" customFormat="1" ht="20.100000000000001" customHeight="1" x14ac:dyDescent="0.2">
      <c r="A54" s="1"/>
      <c r="B54" s="1"/>
      <c r="C54" s="1"/>
      <c r="D54" s="1"/>
      <c r="E54" s="71"/>
      <c r="F54" s="1"/>
      <c r="G54" s="1"/>
      <c r="H54" s="1"/>
      <c r="I54" s="1"/>
      <c r="J54" s="1"/>
      <c r="K54" s="1"/>
      <c r="L54" s="1"/>
      <c r="M54" s="1"/>
    </row>
    <row r="55" spans="1:13" s="4" customFormat="1" ht="20.100000000000001" hidden="1" customHeight="1" x14ac:dyDescent="0.2">
      <c r="A55" s="1"/>
      <c r="B55" s="1"/>
      <c r="C55" s="1"/>
      <c r="D55" s="1"/>
      <c r="E55" s="79"/>
      <c r="F55" s="1"/>
      <c r="G55" s="1"/>
      <c r="H55" s="1"/>
      <c r="I55" s="1"/>
      <c r="J55" s="1"/>
      <c r="K55" s="1"/>
      <c r="L55" s="1"/>
      <c r="M55" s="1"/>
    </row>
    <row r="56" spans="1:13" s="5" customFormat="1" ht="20.100000000000001" customHeight="1" x14ac:dyDescent="0.2">
      <c r="A56" s="1"/>
      <c r="B56" s="1"/>
      <c r="C56" s="1"/>
      <c r="D56" s="1"/>
      <c r="E56" s="33"/>
      <c r="F56" s="1"/>
      <c r="G56" s="1"/>
      <c r="H56" s="1"/>
      <c r="I56" s="1"/>
      <c r="J56" s="1"/>
      <c r="K56" s="1"/>
      <c r="L56" s="1"/>
      <c r="M56" s="1"/>
    </row>
    <row r="57" spans="1:13" s="5" customFormat="1" ht="20.100000000000001" customHeight="1" x14ac:dyDescent="0.2">
      <c r="A57" s="1"/>
      <c r="B57" s="1"/>
      <c r="C57" s="1"/>
      <c r="D57" s="1"/>
      <c r="E57" s="36"/>
      <c r="F57" s="1"/>
      <c r="G57" s="1"/>
      <c r="H57" s="1"/>
      <c r="I57" s="1"/>
      <c r="J57" s="1"/>
      <c r="K57" s="1"/>
      <c r="L57" s="1"/>
      <c r="M57" s="1"/>
    </row>
    <row r="58" spans="1:13" ht="20.100000000000001" customHeight="1" x14ac:dyDescent="0.2">
      <c r="E58" s="36"/>
    </row>
  </sheetData>
  <sheetProtection password="9A3C" sheet="1" objects="1" scenarios="1" selectLockedCells="1"/>
  <mergeCells count="63">
    <mergeCell ref="A14:B14"/>
    <mergeCell ref="C14:D14"/>
    <mergeCell ref="H14:M14"/>
    <mergeCell ref="A10:M10"/>
    <mergeCell ref="A12:D12"/>
    <mergeCell ref="H12:M12"/>
    <mergeCell ref="A13:B13"/>
    <mergeCell ref="C13:D13"/>
    <mergeCell ref="A15:B15"/>
    <mergeCell ref="C15:D15"/>
    <mergeCell ref="A16:B16"/>
    <mergeCell ref="C16:D16"/>
    <mergeCell ref="A17:B17"/>
    <mergeCell ref="C17:D17"/>
    <mergeCell ref="F17:G17"/>
    <mergeCell ref="A18:B19"/>
    <mergeCell ref="C18:D19"/>
    <mergeCell ref="F18:G18"/>
    <mergeCell ref="A20:B20"/>
    <mergeCell ref="C20:D20"/>
    <mergeCell ref="A21:B22"/>
    <mergeCell ref="C21:D21"/>
    <mergeCell ref="C22:D22"/>
    <mergeCell ref="A23:B24"/>
    <mergeCell ref="C23:D23"/>
    <mergeCell ref="C24:D24"/>
    <mergeCell ref="A25:B25"/>
    <mergeCell ref="C25:D25"/>
    <mergeCell ref="A26:B26"/>
    <mergeCell ref="C26:D26"/>
    <mergeCell ref="A27:B27"/>
    <mergeCell ref="C27:D27"/>
    <mergeCell ref="A28:B28"/>
    <mergeCell ref="C28:D28"/>
    <mergeCell ref="A29:B29"/>
    <mergeCell ref="C29:D29"/>
    <mergeCell ref="A30:B30"/>
    <mergeCell ref="C30:D30"/>
    <mergeCell ref="A44:B44"/>
    <mergeCell ref="C44:D44"/>
    <mergeCell ref="A31:B32"/>
    <mergeCell ref="C31:D31"/>
    <mergeCell ref="C32:D32"/>
    <mergeCell ref="A33:B33"/>
    <mergeCell ref="C33:D33"/>
    <mergeCell ref="A34:B34"/>
    <mergeCell ref="C34:D34"/>
    <mergeCell ref="A35:B35"/>
    <mergeCell ref="C35:D35"/>
    <mergeCell ref="A36:B43"/>
    <mergeCell ref="C36:D41"/>
    <mergeCell ref="C42:D43"/>
    <mergeCell ref="A45:B45"/>
    <mergeCell ref="C45:D45"/>
    <mergeCell ref="A46:B46"/>
    <mergeCell ref="C46:D46"/>
    <mergeCell ref="A47:B47"/>
    <mergeCell ref="C47:D47"/>
    <mergeCell ref="A48:B48"/>
    <mergeCell ref="C48:D48"/>
    <mergeCell ref="A49:B50"/>
    <mergeCell ref="C49:D50"/>
    <mergeCell ref="F52:M52"/>
  </mergeCells>
  <conditionalFormatting sqref="J16">
    <cfRule type="cellIs" dxfId="7" priority="1" stopIfTrue="1" operator="greaterThan">
      <formula>2</formula>
    </cfRule>
    <cfRule type="cellIs" dxfId="6" priority="2" stopIfTrue="1" operator="lessThan">
      <formula>1</formula>
    </cfRule>
  </conditionalFormatting>
  <conditionalFormatting sqref="M16 M18">
    <cfRule type="cellIs" dxfId="5" priority="3" stopIfTrue="1" operator="greaterThan">
      <formula>73</formula>
    </cfRule>
    <cfRule type="cellIs" dxfId="4" priority="4" stopIfTrue="1" operator="lessThan">
      <formula>18</formula>
    </cfRule>
  </conditionalFormatting>
  <printOptions horizontalCentered="1" verticalCentered="1"/>
  <pageMargins left="0.25" right="0.25" top="0.25" bottom="0.25" header="0.511811023622047" footer="0.511811023622047"/>
  <pageSetup paperSize="9" scale="56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Check Box 1">
              <controlPr locked="0" defaultSize="0" autoFill="0" autoLine="0" autoPict="0">
                <anchor moveWithCells="1">
                  <from>
                    <xdr:col>9</xdr:col>
                    <xdr:colOff>800100</xdr:colOff>
                    <xdr:row>19</xdr:row>
                    <xdr:rowOff>66675</xdr:rowOff>
                  </from>
                  <to>
                    <xdr:col>9</xdr:col>
                    <xdr:colOff>1076325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Check Box 2">
              <controlPr locked="0" defaultSize="0" autoFill="0" autoLine="0" autoPict="0">
                <anchor moveWithCells="1">
                  <from>
                    <xdr:col>9</xdr:col>
                    <xdr:colOff>809625</xdr:colOff>
                    <xdr:row>21</xdr:row>
                    <xdr:rowOff>66675</xdr:rowOff>
                  </from>
                  <to>
                    <xdr:col>9</xdr:col>
                    <xdr:colOff>1076325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K33"/>
  <sheetViews>
    <sheetView showGridLines="0" tabSelected="1" zoomScale="80" zoomScaleNormal="80" zoomScalePageLayoutView="80" workbookViewId="0"/>
  </sheetViews>
  <sheetFormatPr baseColWidth="10" defaultColWidth="8.85546875" defaultRowHeight="12.75" x14ac:dyDescent="0.2"/>
  <cols>
    <col min="1" max="1" width="33.28515625" style="1" customWidth="1"/>
    <col min="2" max="2" width="24.85546875" style="1" customWidth="1"/>
    <col min="3" max="8" width="16.7109375" style="1" customWidth="1"/>
    <col min="9" max="9" width="8.85546875" style="1"/>
    <col min="10" max="10" width="23.140625" style="1" bestFit="1" customWidth="1"/>
    <col min="11" max="11" width="15.28515625" style="1" bestFit="1" customWidth="1"/>
    <col min="12" max="16384" width="8.85546875" style="1"/>
  </cols>
  <sheetData>
    <row r="1" spans="1:8" ht="12.75" customHeight="1" x14ac:dyDescent="0.2">
      <c r="A1" s="106"/>
      <c r="B1" s="26"/>
      <c r="C1" s="26"/>
      <c r="D1" s="26"/>
      <c r="E1" s="26"/>
      <c r="F1" s="26"/>
      <c r="G1" s="26"/>
      <c r="H1" s="26"/>
    </row>
    <row r="2" spans="1:8" x14ac:dyDescent="0.2">
      <c r="A2" s="26"/>
      <c r="B2" s="26"/>
      <c r="C2" s="26"/>
      <c r="D2" s="26"/>
      <c r="E2" s="26" t="s">
        <v>4</v>
      </c>
      <c r="F2" s="26" t="s">
        <v>4</v>
      </c>
      <c r="G2" s="26" t="s">
        <v>4</v>
      </c>
      <c r="H2" s="26"/>
    </row>
    <row r="3" spans="1:8" x14ac:dyDescent="0.2">
      <c r="A3" s="26"/>
      <c r="B3" s="26"/>
      <c r="C3" s="26"/>
      <c r="D3" s="26"/>
      <c r="E3" s="26"/>
      <c r="F3" s="26"/>
      <c r="G3" s="26"/>
      <c r="H3" s="26"/>
    </row>
    <row r="4" spans="1:8" x14ac:dyDescent="0.2">
      <c r="A4" s="26"/>
      <c r="B4" s="26"/>
      <c r="C4" s="26"/>
      <c r="D4" s="26"/>
      <c r="E4" s="26"/>
      <c r="F4" s="26"/>
      <c r="G4" s="26"/>
      <c r="H4" s="26"/>
    </row>
    <row r="5" spans="1:8" x14ac:dyDescent="0.2">
      <c r="A5" s="26"/>
      <c r="B5" s="26"/>
      <c r="C5" s="26"/>
      <c r="D5" s="26"/>
      <c r="E5" s="26"/>
      <c r="F5" s="26"/>
      <c r="G5" s="26"/>
      <c r="H5" s="26"/>
    </row>
    <row r="6" spans="1:8" ht="15.75" x14ac:dyDescent="0.25">
      <c r="A6" s="26"/>
      <c r="B6" s="26"/>
      <c r="C6" s="26"/>
      <c r="D6" s="26"/>
      <c r="E6" s="28" t="s">
        <v>4</v>
      </c>
      <c r="F6" s="28" t="s">
        <v>4</v>
      </c>
      <c r="G6" s="28" t="s">
        <v>4</v>
      </c>
      <c r="H6" s="29" t="s">
        <v>4</v>
      </c>
    </row>
    <row r="7" spans="1:8" x14ac:dyDescent="0.2">
      <c r="A7" s="26"/>
      <c r="B7" s="26"/>
      <c r="C7" s="26"/>
      <c r="D7" s="26"/>
      <c r="E7" s="26"/>
      <c r="F7" s="26"/>
      <c r="G7" s="26"/>
      <c r="H7" s="26"/>
    </row>
    <row r="8" spans="1:8" x14ac:dyDescent="0.2">
      <c r="A8" s="26"/>
      <c r="B8" s="26"/>
      <c r="C8" s="26"/>
      <c r="D8" s="26"/>
      <c r="E8" s="26"/>
      <c r="F8" s="26"/>
      <c r="G8" s="26"/>
      <c r="H8" s="26"/>
    </row>
    <row r="9" spans="1:8" x14ac:dyDescent="0.2">
      <c r="A9" s="26"/>
      <c r="B9" s="26"/>
      <c r="C9" s="26"/>
      <c r="D9" s="26"/>
      <c r="E9" s="26"/>
      <c r="F9" s="26"/>
      <c r="G9" s="26"/>
      <c r="H9" s="26"/>
    </row>
    <row r="10" spans="1:8" x14ac:dyDescent="0.2">
      <c r="A10" s="26"/>
      <c r="B10" s="26"/>
      <c r="C10" s="26"/>
      <c r="D10" s="26"/>
      <c r="E10" s="26"/>
      <c r="F10" s="26"/>
      <c r="G10" s="26"/>
      <c r="H10" s="26"/>
    </row>
    <row r="11" spans="1:8" x14ac:dyDescent="0.2">
      <c r="A11" s="26"/>
      <c r="B11" s="26"/>
      <c r="C11" s="26"/>
      <c r="D11" s="26"/>
      <c r="E11" s="26"/>
      <c r="F11" s="26"/>
      <c r="G11" s="26"/>
      <c r="H11" s="26"/>
    </row>
    <row r="12" spans="1:8" ht="23.25" x14ac:dyDescent="0.35">
      <c r="A12" s="201" t="s">
        <v>194</v>
      </c>
      <c r="B12" s="201"/>
      <c r="C12" s="201"/>
      <c r="D12" s="201"/>
      <c r="E12" s="201"/>
      <c r="F12" s="201"/>
      <c r="G12" s="201"/>
      <c r="H12" s="201"/>
    </row>
    <row r="13" spans="1:8" ht="8.85" customHeight="1" x14ac:dyDescent="0.35">
      <c r="A13" s="30"/>
      <c r="B13" s="30"/>
      <c r="C13" s="30"/>
      <c r="D13" s="30"/>
      <c r="E13" s="30"/>
      <c r="F13" s="30"/>
      <c r="G13" s="30"/>
      <c r="H13" s="30"/>
    </row>
    <row r="14" spans="1:8" ht="20.100000000000001" customHeight="1" x14ac:dyDescent="0.35">
      <c r="A14" s="30"/>
      <c r="B14" s="30"/>
      <c r="C14" s="202" t="str">
        <f>+'INGRESO DE DATOS'!$D$12</f>
        <v>Edgar Lopez</v>
      </c>
      <c r="D14" s="202"/>
      <c r="E14" s="202"/>
      <c r="F14" s="202"/>
      <c r="G14" s="202"/>
      <c r="H14" s="202"/>
    </row>
    <row r="15" spans="1:8" ht="11.85" customHeight="1" x14ac:dyDescent="0.2">
      <c r="A15" s="26"/>
      <c r="B15" s="26"/>
      <c r="C15" s="26"/>
      <c r="D15" s="26"/>
      <c r="E15" s="26"/>
      <c r="F15" s="26"/>
      <c r="G15" s="26"/>
      <c r="H15" s="26"/>
    </row>
    <row r="16" spans="1:8" ht="20.100000000000001" customHeight="1" x14ac:dyDescent="0.35">
      <c r="A16" s="30"/>
      <c r="B16" s="30"/>
      <c r="C16" s="202" t="str">
        <f>+'INGRESO DE DATOS'!$D$20</f>
        <v>AGENCIA</v>
      </c>
      <c r="D16" s="202"/>
      <c r="E16" s="202"/>
      <c r="F16" s="202"/>
      <c r="G16" s="202"/>
      <c r="H16" s="202"/>
    </row>
    <row r="17" spans="1:11" ht="11.85" customHeight="1" x14ac:dyDescent="0.35">
      <c r="A17" s="30"/>
      <c r="B17" s="30"/>
      <c r="C17" s="26"/>
      <c r="D17" s="26"/>
      <c r="E17" s="26"/>
      <c r="F17" s="26"/>
      <c r="G17" s="26"/>
      <c r="H17" s="26"/>
    </row>
    <row r="18" spans="1:11" ht="20.100000000000001" customHeight="1" x14ac:dyDescent="0.2">
      <c r="A18" s="26"/>
      <c r="B18" s="26"/>
      <c r="C18" s="26"/>
      <c r="D18" s="26"/>
      <c r="E18" s="34">
        <f>+'INGRESO DE DATOS'!$G$14</f>
        <v>1</v>
      </c>
      <c r="F18" s="26"/>
      <c r="G18" s="26"/>
      <c r="H18" s="34">
        <f>+'INGRESO DE DATOS'!$G$16</f>
        <v>38</v>
      </c>
    </row>
    <row r="19" spans="1:11" s="2" customFormat="1" ht="20.100000000000001" customHeight="1" x14ac:dyDescent="0.2">
      <c r="A19" s="205" t="s">
        <v>82</v>
      </c>
      <c r="B19" s="205"/>
      <c r="C19" s="35"/>
      <c r="D19" s="35"/>
      <c r="E19" s="35"/>
      <c r="F19" s="35"/>
      <c r="G19" s="35"/>
      <c r="H19" s="35"/>
    </row>
    <row r="20" spans="1:11" s="2" customFormat="1" ht="20.100000000000001" customHeight="1" x14ac:dyDescent="0.2">
      <c r="A20" s="203">
        <f ca="1">NOW()</f>
        <v>42160.372851504631</v>
      </c>
      <c r="B20" s="204"/>
      <c r="C20" s="35"/>
      <c r="D20" s="35"/>
      <c r="E20" s="34">
        <f>+'INGRESO DE DATOS'!$J$14</f>
        <v>3</v>
      </c>
      <c r="F20" s="35"/>
      <c r="G20" s="35"/>
      <c r="H20" s="34">
        <f>+'INGRESO DE DATOS'!$J$16</f>
        <v>18</v>
      </c>
    </row>
    <row r="21" spans="1:11" s="6" customFormat="1" ht="20.100000000000001" customHeight="1" x14ac:dyDescent="0.2">
      <c r="A21" s="35"/>
      <c r="B21" s="37"/>
      <c r="C21" s="38"/>
      <c r="D21" s="35"/>
      <c r="E21" s="35" t="s">
        <v>4</v>
      </c>
      <c r="F21" s="35" t="s">
        <v>4</v>
      </c>
      <c r="G21" s="35" t="s">
        <v>4</v>
      </c>
      <c r="H21" s="35"/>
    </row>
    <row r="22" spans="1:11" s="3" customFormat="1" ht="20.100000000000001" customHeight="1" x14ac:dyDescent="0.25">
      <c r="A22" s="312" t="s">
        <v>91</v>
      </c>
      <c r="B22" s="313"/>
      <c r="C22" s="148" t="s">
        <v>85</v>
      </c>
      <c r="D22" s="147" t="s">
        <v>86</v>
      </c>
      <c r="E22" s="147" t="s">
        <v>87</v>
      </c>
      <c r="F22" s="147" t="s">
        <v>88</v>
      </c>
      <c r="G22" s="147" t="s">
        <v>89</v>
      </c>
      <c r="H22" s="147" t="s">
        <v>90</v>
      </c>
    </row>
    <row r="23" spans="1:11" s="3" customFormat="1" ht="20.100000000000001" customHeight="1" x14ac:dyDescent="0.2">
      <c r="A23" s="47" t="s">
        <v>176</v>
      </c>
      <c r="B23" s="48"/>
      <c r="C23" s="129" t="s">
        <v>177</v>
      </c>
      <c r="D23" s="48">
        <v>1000</v>
      </c>
      <c r="E23" s="48">
        <v>2000</v>
      </c>
      <c r="F23" s="48">
        <v>5000</v>
      </c>
      <c r="G23" s="48">
        <v>10000</v>
      </c>
      <c r="H23" s="49">
        <v>20000</v>
      </c>
    </row>
    <row r="24" spans="1:11" s="3" customFormat="1" ht="20.100000000000001" customHeight="1" x14ac:dyDescent="0.2">
      <c r="A24" s="50" t="s">
        <v>175</v>
      </c>
      <c r="B24" s="51"/>
      <c r="C24" s="131" t="s">
        <v>177</v>
      </c>
      <c r="D24" s="52">
        <v>2000</v>
      </c>
      <c r="E24" s="52">
        <v>3000</v>
      </c>
      <c r="F24" s="52">
        <v>5000</v>
      </c>
      <c r="G24" s="52">
        <v>10000</v>
      </c>
      <c r="H24" s="53">
        <v>20000</v>
      </c>
    </row>
    <row r="25" spans="1:11" s="3" customFormat="1" ht="20.100000000000001" customHeight="1" x14ac:dyDescent="0.2">
      <c r="A25" s="54"/>
      <c r="B25" s="54"/>
      <c r="C25" s="149"/>
      <c r="D25" s="54"/>
      <c r="E25" s="54"/>
      <c r="F25" s="54"/>
      <c r="G25" s="54"/>
      <c r="H25" s="54"/>
      <c r="I25" s="176" t="b">
        <v>0</v>
      </c>
    </row>
    <row r="26" spans="1:11" s="5" customFormat="1" ht="20.100000000000001" customHeight="1" x14ac:dyDescent="0.25">
      <c r="A26" s="318" t="s">
        <v>150</v>
      </c>
      <c r="B26" s="319"/>
      <c r="C26" s="320" t="s">
        <v>27</v>
      </c>
      <c r="D26" s="320"/>
      <c r="E26" s="320"/>
      <c r="F26" s="320"/>
      <c r="G26" s="320"/>
      <c r="H26" s="321"/>
      <c r="J26" s="181" t="s">
        <v>259</v>
      </c>
    </row>
    <row r="27" spans="1:11" s="4" customFormat="1" ht="20.100000000000001" customHeight="1" x14ac:dyDescent="0.2">
      <c r="A27" s="314" t="s">
        <v>199</v>
      </c>
      <c r="B27" s="315"/>
      <c r="C27" s="146" t="s">
        <v>177</v>
      </c>
      <c r="D27" s="103">
        <f>IF($I$25=FALSE,+Complete!I38,(+Complete!I38) - (+Complete!I38)*$J27)</f>
        <v>10898.72</v>
      </c>
      <c r="E27" s="103">
        <f>IF($I$25=FALSE,+Complete!J38,(+Complete!J38) - (+Complete!J38)*$J27)</f>
        <v>8058.4</v>
      </c>
      <c r="F27" s="103">
        <f>IF($I$25=FALSE,+Complete!K38,(+Complete!K38) - (+Complete!K38)*$J27)</f>
        <v>6201.44</v>
      </c>
      <c r="G27" s="103">
        <f>IF($I$25=FALSE,+Complete!L38,(+Complete!L38) - (+Complete!L38)*$J27)</f>
        <v>4926.88</v>
      </c>
      <c r="H27" s="103">
        <f>IF($I$25=FALSE,+Complete!M38,(+Complete!M38) - (+Complete!M38)*$J27)</f>
        <v>3726.24</v>
      </c>
      <c r="J27" s="177">
        <v>0.1</v>
      </c>
    </row>
    <row r="28" spans="1:11" s="4" customFormat="1" ht="20.100000000000001" customHeight="1" thickBot="1" x14ac:dyDescent="0.25">
      <c r="A28" s="316" t="s">
        <v>200</v>
      </c>
      <c r="B28" s="317"/>
      <c r="C28" s="146" t="s">
        <v>177</v>
      </c>
      <c r="D28" s="105">
        <f>IF($I$25=FALSE,+Secure!I39,(+Secure!I39)-(+Secure!I39)*$J27)</f>
        <v>6581.12</v>
      </c>
      <c r="E28" s="105">
        <f>IF($I$25=FALSE,+Secure!J39,(+Secure!J39)-(+Secure!J39)*$J27)</f>
        <v>4533.76</v>
      </c>
      <c r="F28" s="105">
        <f>IF($I$25=FALSE,+Secure!K39,(+Secure!K39)-(+Secure!K39)*$J27)</f>
        <v>3660.16</v>
      </c>
      <c r="G28" s="105">
        <f>IF($I$25=FALSE,+Secure!L39,(+Secure!L39)-(+Secure!L39)*$J27)</f>
        <v>3168.48</v>
      </c>
      <c r="H28" s="105">
        <f>IF($I$25=FALSE,+Secure!M39,(+Secure!M39)-(+Secure!M39)*$J27)</f>
        <v>2403.52</v>
      </c>
    </row>
    <row r="29" spans="1:11" s="4" customFormat="1" ht="20.100000000000001" customHeight="1" thickBot="1" x14ac:dyDescent="0.25">
      <c r="A29" s="310" t="s">
        <v>253</v>
      </c>
      <c r="B29" s="311"/>
      <c r="C29" s="146" t="s">
        <v>177</v>
      </c>
      <c r="D29" s="104">
        <f>IF($I$25=FALSE,+Premium!I40,(+Premium!I40)-(+Premium!I40)*$J27)</f>
        <v>8777.44</v>
      </c>
      <c r="E29" s="104">
        <f>IF($I$25=FALSE,+Premium!J40,(+Premium!J40)-(+Premium!J40)*$J27)</f>
        <v>6815.2</v>
      </c>
      <c r="F29" s="104">
        <f>IF($I$25=FALSE,+Premium!K40,(+Premium!K40)-(+Premium!K40)*$J27)</f>
        <v>5923.68</v>
      </c>
      <c r="G29" s="104">
        <f>IF($I$25=FALSE,+Premium!L40,(+Premium!L40)-(+Premium!L40)*$J27)</f>
        <v>5658.24</v>
      </c>
      <c r="H29" s="104">
        <f>IF($I$25=FALSE,+Premium!M40,(+Premium!M40)-(+Premium!M40)*$J27)</f>
        <v>5467.84</v>
      </c>
      <c r="J29" s="308" t="s">
        <v>264</v>
      </c>
      <c r="K29" s="309"/>
    </row>
    <row r="30" spans="1:11" s="4" customFormat="1" ht="20.100000000000001" customHeight="1" x14ac:dyDescent="0.2">
      <c r="A30" s="316" t="s">
        <v>254</v>
      </c>
      <c r="B30" s="317"/>
      <c r="C30" s="146" t="s">
        <v>177</v>
      </c>
      <c r="D30" s="105">
        <f>IF($I$25=FALSE,+Classic!I40,(+Classic!I40)-(+Classic!I40)*$J27)</f>
        <v>6120.8</v>
      </c>
      <c r="E30" s="105">
        <f>IF($I$25=FALSE,+Classic!J40,(+Classic!J40)-(+Classic!J40)*$J27)</f>
        <v>4584.16</v>
      </c>
      <c r="F30" s="105">
        <f>IF($I$25=FALSE,+Classic!K40,(+Classic!K40)-(+Classic!K40)*$J27)</f>
        <v>3978.24</v>
      </c>
      <c r="G30" s="105">
        <f>IF($I$25=FALSE,+Classic!L40,(+Classic!L40)-(+Classic!L40)*$J27)</f>
        <v>3867.36</v>
      </c>
      <c r="H30" s="105">
        <f>IF($I$25=FALSE,+Classic!M40,(+Classic!M40)-(+Classic!M40)*$J27)</f>
        <v>4133.92</v>
      </c>
      <c r="J30" s="179" t="s">
        <v>265</v>
      </c>
      <c r="K30" s="179" t="s">
        <v>260</v>
      </c>
    </row>
    <row r="31" spans="1:11" ht="15.75" x14ac:dyDescent="0.25">
      <c r="A31" s="207" t="s">
        <v>191</v>
      </c>
      <c r="B31" s="208"/>
      <c r="C31" s="208"/>
      <c r="D31" s="208"/>
      <c r="E31" s="208"/>
      <c r="F31" s="208"/>
      <c r="G31" s="208"/>
      <c r="H31" s="209"/>
      <c r="J31" s="178" t="s">
        <v>261</v>
      </c>
      <c r="K31" s="180">
        <v>0.05</v>
      </c>
    </row>
    <row r="32" spans="1:11" x14ac:dyDescent="0.2">
      <c r="J32" s="178" t="s">
        <v>262</v>
      </c>
      <c r="K32" s="180">
        <v>0.1</v>
      </c>
    </row>
    <row r="33" spans="10:11" x14ac:dyDescent="0.2">
      <c r="J33" s="178" t="s">
        <v>263</v>
      </c>
      <c r="K33" s="180">
        <v>0.15</v>
      </c>
    </row>
  </sheetData>
  <sheetProtection password="9A3C" sheet="1" objects="1" scenarios="1" selectLockedCells="1"/>
  <mergeCells count="14">
    <mergeCell ref="A31:H31"/>
    <mergeCell ref="A29:B29"/>
    <mergeCell ref="A22:B22"/>
    <mergeCell ref="A27:B27"/>
    <mergeCell ref="A30:B30"/>
    <mergeCell ref="A28:B28"/>
    <mergeCell ref="A26:B26"/>
    <mergeCell ref="C26:H26"/>
    <mergeCell ref="J29:K29"/>
    <mergeCell ref="A12:H12"/>
    <mergeCell ref="C14:H14"/>
    <mergeCell ref="C16:H16"/>
    <mergeCell ref="A20:B20"/>
    <mergeCell ref="A19:B19"/>
  </mergeCells>
  <phoneticPr fontId="5" type="noConversion"/>
  <conditionalFormatting sqref="E18">
    <cfRule type="cellIs" dxfId="3" priority="1" stopIfTrue="1" operator="greaterThan">
      <formula>2</formula>
    </cfRule>
    <cfRule type="cellIs" dxfId="2" priority="2" stopIfTrue="1" operator="lessThan">
      <formula>1</formula>
    </cfRule>
  </conditionalFormatting>
  <conditionalFormatting sqref="H18 H20">
    <cfRule type="cellIs" dxfId="1" priority="3" stopIfTrue="1" operator="greaterThan">
      <formula>73</formula>
    </cfRule>
    <cfRule type="cellIs" dxfId="0" priority="4" stopIfTrue="1" operator="lessThan">
      <formula>18</formula>
    </cfRule>
  </conditionalFormatting>
  <dataValidations count="1">
    <dataValidation type="decimal" allowBlank="1" showInputMessage="1" showErrorMessage="1" sqref="J27">
      <formula1>0</formula1>
      <formula2>0.15</formula2>
    </dataValidation>
  </dataValidations>
  <printOptions horizontalCentered="1" verticalCentered="1"/>
  <pageMargins left="0.25" right="0.25" top="0.25" bottom="0.25" header="0.511811023622047" footer="0.511811023622047"/>
  <pageSetup paperSize="9" scale="8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Check Box 1">
              <controlPr locked="0" defaultSize="0" autoFill="0" autoLine="0" autoPict="0" altText="">
                <anchor moveWithCells="1">
                  <from>
                    <xdr:col>8</xdr:col>
                    <xdr:colOff>257175</xdr:colOff>
                    <xdr:row>25</xdr:row>
                    <xdr:rowOff>38100</xdr:rowOff>
                  </from>
                  <to>
                    <xdr:col>8</xdr:col>
                    <xdr:colOff>514350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O918"/>
  <sheetViews>
    <sheetView showGridLines="0" topLeftCell="A919" workbookViewId="0">
      <selection activeCell="A918" sqref="A1:XFD918"/>
    </sheetView>
  </sheetViews>
  <sheetFormatPr baseColWidth="10" defaultColWidth="8.85546875" defaultRowHeight="12.75" x14ac:dyDescent="0.2"/>
  <cols>
    <col min="1" max="1" width="3.7109375" style="89" customWidth="1"/>
    <col min="2" max="2" width="20.7109375" style="89" customWidth="1"/>
    <col min="3" max="8" width="15.7109375" style="96" customWidth="1"/>
    <col min="9" max="20" width="15.7109375" style="89" customWidth="1"/>
    <col min="21" max="16384" width="8.85546875" style="89"/>
  </cols>
  <sheetData>
    <row r="1" spans="1:15" ht="13.5" hidden="1" thickBot="1" x14ac:dyDescent="0.25"/>
    <row r="2" spans="1:15" ht="18" hidden="1" x14ac:dyDescent="0.25">
      <c r="A2" s="322" t="s">
        <v>247</v>
      </c>
      <c r="B2" s="323"/>
      <c r="C2" s="323"/>
      <c r="D2" s="323"/>
      <c r="E2" s="323"/>
      <c r="F2" s="323"/>
      <c r="G2" s="323"/>
      <c r="H2" s="324"/>
      <c r="J2" s="89" t="s">
        <v>81</v>
      </c>
      <c r="L2" s="89">
        <v>0.53</v>
      </c>
    </row>
    <row r="3" spans="1:15" ht="18" hidden="1" x14ac:dyDescent="0.25">
      <c r="A3" s="325" t="s">
        <v>28</v>
      </c>
      <c r="B3" s="326"/>
      <c r="C3" s="326"/>
      <c r="D3" s="326"/>
      <c r="E3" s="326"/>
      <c r="F3" s="326"/>
      <c r="G3" s="326"/>
      <c r="H3" s="327"/>
    </row>
    <row r="4" spans="1:15" hidden="1" x14ac:dyDescent="0.2">
      <c r="A4" s="328" t="s">
        <v>0</v>
      </c>
      <c r="B4" s="329"/>
      <c r="C4" s="329"/>
      <c r="D4" s="329"/>
      <c r="E4" s="329"/>
      <c r="F4" s="329"/>
      <c r="G4" s="329"/>
      <c r="H4" s="90"/>
    </row>
    <row r="5" spans="1:15" hidden="1" x14ac:dyDescent="0.2">
      <c r="A5" s="91" t="s">
        <v>4</v>
      </c>
      <c r="B5" s="92" t="s">
        <v>4</v>
      </c>
      <c r="C5" s="155" t="s">
        <v>29</v>
      </c>
      <c r="D5" s="154" t="s">
        <v>30</v>
      </c>
      <c r="E5" s="154" t="s">
        <v>31</v>
      </c>
      <c r="F5" s="154" t="s">
        <v>32</v>
      </c>
      <c r="G5" s="154" t="s">
        <v>33</v>
      </c>
      <c r="H5" s="90" t="s">
        <v>34</v>
      </c>
    </row>
    <row r="6" spans="1:15" ht="15" hidden="1" x14ac:dyDescent="0.2">
      <c r="A6" s="91">
        <v>18</v>
      </c>
      <c r="B6" s="93" t="s">
        <v>152</v>
      </c>
      <c r="C6" s="114">
        <v>6567</v>
      </c>
      <c r="D6" s="159">
        <v>4747</v>
      </c>
      <c r="E6" s="159">
        <v>3251</v>
      </c>
      <c r="F6" s="159">
        <v>2341</v>
      </c>
      <c r="G6" s="159">
        <v>1658</v>
      </c>
      <c r="H6" s="161">
        <v>1268</v>
      </c>
      <c r="J6" s="107"/>
      <c r="K6" s="107"/>
      <c r="L6" s="107"/>
      <c r="M6" s="107"/>
      <c r="N6" s="107"/>
      <c r="O6" s="107"/>
    </row>
    <row r="7" spans="1:15" ht="15" hidden="1" x14ac:dyDescent="0.2">
      <c r="A7" s="91">
        <v>25</v>
      </c>
      <c r="B7" s="93" t="s">
        <v>5</v>
      </c>
      <c r="C7" s="114">
        <v>6892</v>
      </c>
      <c r="D7" s="159">
        <v>4974</v>
      </c>
      <c r="E7" s="159">
        <v>3609</v>
      </c>
      <c r="F7" s="159">
        <v>2601</v>
      </c>
      <c r="G7" s="159">
        <v>1821</v>
      </c>
      <c r="H7" s="161">
        <v>1398</v>
      </c>
      <c r="J7" s="107"/>
      <c r="K7" s="107"/>
      <c r="L7" s="107"/>
      <c r="M7" s="107"/>
      <c r="N7" s="107"/>
      <c r="O7" s="107"/>
    </row>
    <row r="8" spans="1:15" ht="15" hidden="1" x14ac:dyDescent="0.2">
      <c r="A8" s="91">
        <v>30</v>
      </c>
      <c r="B8" s="93" t="s">
        <v>6</v>
      </c>
      <c r="C8" s="114">
        <v>7125</v>
      </c>
      <c r="D8" s="159">
        <v>5202</v>
      </c>
      <c r="E8" s="159">
        <v>3869</v>
      </c>
      <c r="F8" s="159">
        <v>2894</v>
      </c>
      <c r="G8" s="159">
        <v>2211</v>
      </c>
      <c r="H8" s="161">
        <v>1691</v>
      </c>
      <c r="J8" s="107"/>
      <c r="K8" s="107"/>
      <c r="L8" s="107"/>
      <c r="M8" s="107"/>
      <c r="N8" s="107"/>
      <c r="O8" s="107"/>
    </row>
    <row r="9" spans="1:15" ht="15" hidden="1" x14ac:dyDescent="0.2">
      <c r="A9" s="91">
        <v>35</v>
      </c>
      <c r="B9" s="93" t="s">
        <v>7</v>
      </c>
      <c r="C9" s="114">
        <v>7966</v>
      </c>
      <c r="D9" s="159">
        <v>5820</v>
      </c>
      <c r="E9" s="159">
        <v>4324</v>
      </c>
      <c r="F9" s="159">
        <v>3251</v>
      </c>
      <c r="G9" s="159">
        <v>2471</v>
      </c>
      <c r="H9" s="161">
        <v>1886</v>
      </c>
      <c r="J9" s="107"/>
      <c r="K9" s="107"/>
      <c r="L9" s="107"/>
      <c r="M9" s="107"/>
      <c r="N9" s="107"/>
      <c r="O9" s="107"/>
    </row>
    <row r="10" spans="1:15" ht="15" hidden="1" x14ac:dyDescent="0.2">
      <c r="A10" s="91">
        <v>40</v>
      </c>
      <c r="B10" s="93" t="s">
        <v>8</v>
      </c>
      <c r="C10" s="114">
        <v>9219</v>
      </c>
      <c r="D10" s="159">
        <v>6763</v>
      </c>
      <c r="E10" s="159">
        <v>4747</v>
      </c>
      <c r="F10" s="159">
        <v>3609</v>
      </c>
      <c r="G10" s="159">
        <v>2731</v>
      </c>
      <c r="H10" s="161">
        <v>2081</v>
      </c>
      <c r="J10" s="107"/>
      <c r="K10" s="107"/>
      <c r="L10" s="107"/>
      <c r="M10" s="107"/>
      <c r="N10" s="107"/>
      <c r="O10" s="107"/>
    </row>
    <row r="11" spans="1:15" ht="15" hidden="1" x14ac:dyDescent="0.2">
      <c r="A11" s="91">
        <v>45</v>
      </c>
      <c r="B11" s="93" t="s">
        <v>9</v>
      </c>
      <c r="C11" s="114">
        <v>10294</v>
      </c>
      <c r="D11" s="159">
        <v>7543</v>
      </c>
      <c r="E11" s="159">
        <v>5300</v>
      </c>
      <c r="F11" s="159">
        <v>4032</v>
      </c>
      <c r="G11" s="159">
        <v>3056</v>
      </c>
      <c r="H11" s="161">
        <v>2341</v>
      </c>
      <c r="J11" s="107"/>
      <c r="K11" s="107"/>
      <c r="L11" s="107"/>
      <c r="M11" s="107"/>
      <c r="N11" s="107"/>
      <c r="O11" s="107"/>
    </row>
    <row r="12" spans="1:15" ht="15" hidden="1" x14ac:dyDescent="0.2">
      <c r="A12" s="91">
        <v>50</v>
      </c>
      <c r="B12" s="93" t="s">
        <v>10</v>
      </c>
      <c r="C12" s="114">
        <v>13377</v>
      </c>
      <c r="D12" s="159">
        <v>9851</v>
      </c>
      <c r="E12" s="159">
        <v>6990</v>
      </c>
      <c r="F12" s="159">
        <v>5300</v>
      </c>
      <c r="G12" s="159">
        <v>4357</v>
      </c>
      <c r="H12" s="161">
        <v>3349</v>
      </c>
      <c r="J12" s="107"/>
      <c r="K12" s="107"/>
      <c r="L12" s="107"/>
      <c r="M12" s="107"/>
      <c r="N12" s="107"/>
      <c r="O12" s="107"/>
    </row>
    <row r="13" spans="1:15" ht="15" hidden="1" x14ac:dyDescent="0.2">
      <c r="A13" s="91">
        <v>55</v>
      </c>
      <c r="B13" s="93" t="s">
        <v>11</v>
      </c>
      <c r="C13" s="114">
        <v>14228</v>
      </c>
      <c r="D13" s="159">
        <v>10501</v>
      </c>
      <c r="E13" s="159">
        <v>7445</v>
      </c>
      <c r="F13" s="159">
        <v>5657</v>
      </c>
      <c r="G13" s="159">
        <v>4649</v>
      </c>
      <c r="H13" s="161">
        <v>3544</v>
      </c>
      <c r="J13" s="107"/>
      <c r="K13" s="107"/>
      <c r="L13" s="107"/>
      <c r="M13" s="107"/>
      <c r="N13" s="107"/>
      <c r="O13" s="107"/>
    </row>
    <row r="14" spans="1:15" ht="15" hidden="1" x14ac:dyDescent="0.2">
      <c r="A14" s="91">
        <v>60</v>
      </c>
      <c r="B14" s="93"/>
      <c r="C14" s="114">
        <v>15133</v>
      </c>
      <c r="D14" s="159">
        <v>11412</v>
      </c>
      <c r="E14" s="159">
        <v>8096</v>
      </c>
      <c r="F14" s="159">
        <v>6437</v>
      </c>
      <c r="G14" s="159">
        <v>5527</v>
      </c>
      <c r="H14" s="161">
        <v>4454</v>
      </c>
      <c r="J14" s="107"/>
      <c r="K14" s="107"/>
      <c r="L14" s="107"/>
      <c r="M14" s="107"/>
      <c r="N14" s="107"/>
      <c r="O14" s="107"/>
    </row>
    <row r="15" spans="1:15" ht="15" hidden="1" x14ac:dyDescent="0.2">
      <c r="A15" s="91">
        <v>61</v>
      </c>
      <c r="B15" s="93"/>
      <c r="C15" s="114">
        <v>16253</v>
      </c>
      <c r="D15" s="159">
        <v>12257</v>
      </c>
      <c r="E15" s="159">
        <v>8681</v>
      </c>
      <c r="F15" s="159">
        <v>6893</v>
      </c>
      <c r="G15" s="159">
        <v>5950</v>
      </c>
      <c r="H15" s="161">
        <v>4779</v>
      </c>
      <c r="J15" s="107"/>
      <c r="K15" s="107"/>
      <c r="L15" s="107"/>
      <c r="M15" s="107"/>
      <c r="N15" s="107"/>
      <c r="O15" s="107"/>
    </row>
    <row r="16" spans="1:15" ht="15" hidden="1" x14ac:dyDescent="0.2">
      <c r="A16" s="91">
        <v>62</v>
      </c>
      <c r="B16" s="93"/>
      <c r="C16" s="114">
        <v>17785</v>
      </c>
      <c r="D16" s="159">
        <v>13428</v>
      </c>
      <c r="E16" s="159">
        <v>9494</v>
      </c>
      <c r="F16" s="159">
        <v>7543</v>
      </c>
      <c r="G16" s="159">
        <v>6502</v>
      </c>
      <c r="H16" s="161">
        <v>5234</v>
      </c>
      <c r="J16" s="107"/>
      <c r="K16" s="107"/>
      <c r="L16" s="107"/>
      <c r="M16" s="107"/>
      <c r="N16" s="107"/>
      <c r="O16" s="107"/>
    </row>
    <row r="17" spans="1:15" ht="15" hidden="1" x14ac:dyDescent="0.2">
      <c r="A17" s="91">
        <v>63</v>
      </c>
      <c r="B17" s="93"/>
      <c r="C17" s="114">
        <v>18901</v>
      </c>
      <c r="D17" s="159">
        <v>14273</v>
      </c>
      <c r="E17" s="159">
        <v>10111</v>
      </c>
      <c r="F17" s="159">
        <v>8031</v>
      </c>
      <c r="G17" s="159">
        <v>6925</v>
      </c>
      <c r="H17" s="161">
        <v>5560</v>
      </c>
      <c r="J17" s="107"/>
      <c r="K17" s="107"/>
      <c r="L17" s="107"/>
      <c r="M17" s="107"/>
      <c r="N17" s="107"/>
      <c r="O17" s="107"/>
    </row>
    <row r="18" spans="1:15" ht="15" hidden="1" x14ac:dyDescent="0.2">
      <c r="A18" s="91">
        <v>64</v>
      </c>
      <c r="B18" s="93"/>
      <c r="C18" s="114">
        <v>20440</v>
      </c>
      <c r="D18" s="159">
        <v>15443</v>
      </c>
      <c r="E18" s="159">
        <v>10924</v>
      </c>
      <c r="F18" s="159">
        <v>8681</v>
      </c>
      <c r="G18" s="159">
        <v>7478</v>
      </c>
      <c r="H18" s="161">
        <v>6015</v>
      </c>
      <c r="J18" s="107"/>
      <c r="K18" s="107"/>
      <c r="L18" s="107"/>
      <c r="M18" s="107"/>
      <c r="N18" s="107"/>
      <c r="O18" s="107"/>
    </row>
    <row r="19" spans="1:15" ht="15" hidden="1" x14ac:dyDescent="0.2">
      <c r="A19" s="91">
        <v>65</v>
      </c>
      <c r="B19" s="93"/>
      <c r="C19" s="114">
        <v>21418</v>
      </c>
      <c r="D19" s="159">
        <v>20190</v>
      </c>
      <c r="E19" s="159">
        <v>14273</v>
      </c>
      <c r="F19" s="159">
        <v>10989</v>
      </c>
      <c r="G19" s="159">
        <v>9981</v>
      </c>
      <c r="H19" s="161">
        <v>8486</v>
      </c>
      <c r="J19" s="107"/>
      <c r="K19" s="107"/>
      <c r="L19" s="107"/>
      <c r="M19" s="107"/>
      <c r="N19" s="107"/>
      <c r="O19" s="107"/>
    </row>
    <row r="20" spans="1:15" ht="15" hidden="1" x14ac:dyDescent="0.2">
      <c r="A20" s="91">
        <v>66</v>
      </c>
      <c r="B20" s="93"/>
      <c r="C20" s="114">
        <v>22390</v>
      </c>
      <c r="D20" s="159">
        <v>23474</v>
      </c>
      <c r="E20" s="159">
        <v>16581</v>
      </c>
      <c r="F20" s="159">
        <v>12777</v>
      </c>
      <c r="G20" s="159">
        <v>11607</v>
      </c>
      <c r="H20" s="161">
        <v>9851</v>
      </c>
      <c r="J20" s="107"/>
      <c r="K20" s="107"/>
      <c r="L20" s="107"/>
      <c r="M20" s="107"/>
      <c r="N20" s="107"/>
      <c r="O20" s="107"/>
    </row>
    <row r="21" spans="1:15" ht="15" hidden="1" x14ac:dyDescent="0.2">
      <c r="A21" s="91">
        <v>67</v>
      </c>
      <c r="B21" s="93"/>
      <c r="C21" s="114">
        <v>24449</v>
      </c>
      <c r="D21" s="159">
        <v>25620</v>
      </c>
      <c r="E21" s="159">
        <v>18109</v>
      </c>
      <c r="F21" s="159">
        <v>13948</v>
      </c>
      <c r="G21" s="159">
        <v>12680</v>
      </c>
      <c r="H21" s="161">
        <v>10762</v>
      </c>
      <c r="J21" s="107"/>
      <c r="K21" s="107"/>
      <c r="L21" s="107"/>
      <c r="M21" s="107"/>
      <c r="N21" s="107"/>
      <c r="O21" s="107"/>
    </row>
    <row r="22" spans="1:15" ht="15" hidden="1" x14ac:dyDescent="0.2">
      <c r="A22" s="91">
        <v>68</v>
      </c>
      <c r="B22" s="93"/>
      <c r="C22" s="114">
        <v>27063</v>
      </c>
      <c r="D22" s="159">
        <v>28383</v>
      </c>
      <c r="E22" s="159">
        <v>20060</v>
      </c>
      <c r="F22" s="159">
        <v>15443</v>
      </c>
      <c r="G22" s="159">
        <v>14045</v>
      </c>
      <c r="H22" s="161">
        <v>11932</v>
      </c>
      <c r="J22" s="107"/>
      <c r="K22" s="107"/>
      <c r="L22" s="107"/>
      <c r="M22" s="107"/>
      <c r="N22" s="107"/>
      <c r="O22" s="107"/>
    </row>
    <row r="23" spans="1:15" ht="15" hidden="1" x14ac:dyDescent="0.2">
      <c r="A23" s="91">
        <v>69</v>
      </c>
      <c r="B23" s="93"/>
      <c r="C23" s="114">
        <v>29766</v>
      </c>
      <c r="D23" s="159">
        <v>31212</v>
      </c>
      <c r="E23" s="159">
        <v>22043</v>
      </c>
      <c r="F23" s="159">
        <v>17004</v>
      </c>
      <c r="G23" s="159">
        <v>15443</v>
      </c>
      <c r="H23" s="161">
        <v>13102</v>
      </c>
      <c r="J23" s="107"/>
      <c r="K23" s="107"/>
      <c r="L23" s="107"/>
      <c r="M23" s="107"/>
      <c r="N23" s="107"/>
      <c r="O23" s="107"/>
    </row>
    <row r="24" spans="1:15" ht="15" hidden="1" x14ac:dyDescent="0.2">
      <c r="A24" s="91">
        <v>70</v>
      </c>
      <c r="B24" s="93"/>
      <c r="C24" s="114">
        <v>35226</v>
      </c>
      <c r="D24" s="159">
        <v>38430</v>
      </c>
      <c r="E24" s="159">
        <v>26855</v>
      </c>
      <c r="F24" s="159">
        <v>19995</v>
      </c>
      <c r="G24" s="159">
        <v>17979</v>
      </c>
      <c r="H24" s="161">
        <v>15411</v>
      </c>
      <c r="J24" s="107"/>
      <c r="K24" s="107"/>
      <c r="L24" s="107"/>
      <c r="M24" s="107"/>
      <c r="N24" s="107"/>
      <c r="O24" s="107"/>
    </row>
    <row r="25" spans="1:15" ht="15" hidden="1" x14ac:dyDescent="0.2">
      <c r="A25" s="91">
        <v>71</v>
      </c>
      <c r="B25" s="93"/>
      <c r="C25" s="114">
        <v>36603</v>
      </c>
      <c r="D25" s="159">
        <v>39925</v>
      </c>
      <c r="E25" s="159">
        <v>27896</v>
      </c>
      <c r="F25" s="159">
        <v>20775</v>
      </c>
      <c r="G25" s="159">
        <v>18695</v>
      </c>
      <c r="H25" s="161">
        <v>16029</v>
      </c>
      <c r="J25" s="107"/>
      <c r="K25" s="107"/>
      <c r="L25" s="107"/>
      <c r="M25" s="107"/>
      <c r="N25" s="107"/>
      <c r="O25" s="107"/>
    </row>
    <row r="26" spans="1:15" ht="15" hidden="1" x14ac:dyDescent="0.2">
      <c r="A26" s="91">
        <v>72</v>
      </c>
      <c r="B26" s="93"/>
      <c r="C26" s="114">
        <v>37639</v>
      </c>
      <c r="D26" s="159">
        <v>41063</v>
      </c>
      <c r="E26" s="159">
        <v>28708</v>
      </c>
      <c r="F26" s="159">
        <v>21361</v>
      </c>
      <c r="G26" s="159">
        <v>19215</v>
      </c>
      <c r="H26" s="161">
        <v>16484</v>
      </c>
      <c r="J26" s="107"/>
      <c r="K26" s="107"/>
      <c r="L26" s="107"/>
      <c r="M26" s="107"/>
      <c r="N26" s="107"/>
      <c r="O26" s="107"/>
    </row>
    <row r="27" spans="1:15" ht="15" hidden="1" x14ac:dyDescent="0.2">
      <c r="A27" s="91">
        <v>73</v>
      </c>
      <c r="B27" s="93"/>
      <c r="C27" s="114">
        <v>39022</v>
      </c>
      <c r="D27" s="159">
        <v>42559</v>
      </c>
      <c r="E27" s="159">
        <v>29749</v>
      </c>
      <c r="F27" s="159">
        <v>22141</v>
      </c>
      <c r="G27" s="159">
        <v>19930</v>
      </c>
      <c r="H27" s="161">
        <v>17101</v>
      </c>
      <c r="J27" s="107"/>
      <c r="K27" s="107"/>
      <c r="L27" s="107"/>
      <c r="M27" s="107"/>
      <c r="N27" s="107"/>
      <c r="O27" s="107"/>
    </row>
    <row r="28" spans="1:15" ht="15" hidden="1" x14ac:dyDescent="0.2">
      <c r="A28" s="91">
        <v>74</v>
      </c>
      <c r="B28" s="93"/>
      <c r="C28" s="114">
        <v>39710</v>
      </c>
      <c r="D28" s="159">
        <v>43339</v>
      </c>
      <c r="E28" s="159">
        <v>30269</v>
      </c>
      <c r="F28" s="159">
        <v>22564</v>
      </c>
      <c r="G28" s="159">
        <v>20288</v>
      </c>
      <c r="H28" s="161">
        <v>17394</v>
      </c>
      <c r="J28" s="107"/>
      <c r="K28" s="107"/>
      <c r="L28" s="107"/>
      <c r="M28" s="107"/>
      <c r="N28" s="107"/>
      <c r="O28" s="107"/>
    </row>
    <row r="29" spans="1:15" ht="15" hidden="1" x14ac:dyDescent="0.2">
      <c r="A29" s="91">
        <v>75</v>
      </c>
      <c r="B29" s="93" t="s">
        <v>12</v>
      </c>
      <c r="C29" s="114">
        <v>41434</v>
      </c>
      <c r="D29" s="159">
        <v>45225</v>
      </c>
      <c r="E29" s="159">
        <v>31602</v>
      </c>
      <c r="F29" s="159">
        <v>23539</v>
      </c>
      <c r="G29" s="159">
        <v>21166</v>
      </c>
      <c r="H29" s="161">
        <v>18142</v>
      </c>
      <c r="J29" s="107"/>
      <c r="K29" s="107"/>
      <c r="L29" s="107"/>
      <c r="M29" s="107"/>
      <c r="N29" s="107"/>
      <c r="O29" s="107"/>
    </row>
    <row r="30" spans="1:15" ht="15" hidden="1" x14ac:dyDescent="0.2">
      <c r="A30" s="91">
        <v>1</v>
      </c>
      <c r="B30" s="93" t="s">
        <v>13</v>
      </c>
      <c r="C30" s="114">
        <v>2270</v>
      </c>
      <c r="D30" s="159">
        <v>1658</v>
      </c>
      <c r="E30" s="159">
        <v>1203</v>
      </c>
      <c r="F30" s="159">
        <v>943</v>
      </c>
      <c r="G30" s="159">
        <v>813</v>
      </c>
      <c r="H30" s="161">
        <v>585</v>
      </c>
      <c r="J30" s="107"/>
      <c r="K30" s="107"/>
      <c r="L30" s="107"/>
      <c r="M30" s="107"/>
      <c r="N30" s="107"/>
      <c r="O30" s="107"/>
    </row>
    <row r="31" spans="1:15" ht="15" hidden="1" x14ac:dyDescent="0.2">
      <c r="A31" s="91">
        <v>2</v>
      </c>
      <c r="B31" s="93" t="s">
        <v>1</v>
      </c>
      <c r="C31" s="114">
        <v>3566</v>
      </c>
      <c r="D31" s="159">
        <v>2633</v>
      </c>
      <c r="E31" s="159">
        <v>1918</v>
      </c>
      <c r="F31" s="159">
        <v>1496</v>
      </c>
      <c r="G31" s="159">
        <v>1268</v>
      </c>
      <c r="H31" s="161">
        <v>943</v>
      </c>
      <c r="J31" s="107"/>
      <c r="K31" s="107"/>
      <c r="L31" s="107"/>
      <c r="M31" s="107"/>
      <c r="N31" s="107"/>
      <c r="O31" s="107"/>
    </row>
    <row r="32" spans="1:15" ht="15" hidden="1" x14ac:dyDescent="0.2">
      <c r="A32" s="91">
        <v>3</v>
      </c>
      <c r="B32" s="93" t="s">
        <v>14</v>
      </c>
      <c r="C32" s="114">
        <v>5193</v>
      </c>
      <c r="D32" s="159">
        <v>3836</v>
      </c>
      <c r="E32" s="159">
        <v>2796</v>
      </c>
      <c r="F32" s="159">
        <v>2211</v>
      </c>
      <c r="G32" s="159">
        <v>1853</v>
      </c>
      <c r="H32" s="161">
        <v>1366</v>
      </c>
      <c r="J32" s="107"/>
      <c r="K32" s="107"/>
      <c r="L32" s="107"/>
      <c r="M32" s="107"/>
      <c r="N32" s="107"/>
      <c r="O32" s="107"/>
    </row>
    <row r="33" spans="1:15" hidden="1" x14ac:dyDescent="0.2">
      <c r="A33" s="91">
        <v>1</v>
      </c>
      <c r="B33" s="93" t="s">
        <v>3</v>
      </c>
      <c r="C33" s="114">
        <v>0</v>
      </c>
      <c r="D33" s="94">
        <v>0</v>
      </c>
      <c r="E33" s="94">
        <v>0</v>
      </c>
      <c r="F33" s="94">
        <v>225</v>
      </c>
      <c r="G33" s="94">
        <v>225</v>
      </c>
      <c r="H33" s="95">
        <v>225</v>
      </c>
      <c r="J33" s="107"/>
      <c r="K33" s="107"/>
      <c r="L33" s="107"/>
      <c r="M33" s="107"/>
      <c r="N33" s="107"/>
      <c r="O33" s="107"/>
    </row>
    <row r="34" spans="1:15" hidden="1" x14ac:dyDescent="0.2">
      <c r="A34" s="91">
        <v>1</v>
      </c>
      <c r="B34" s="93" t="s">
        <v>2</v>
      </c>
      <c r="C34" s="114">
        <v>0</v>
      </c>
      <c r="D34" s="94">
        <v>0</v>
      </c>
      <c r="E34" s="94">
        <v>0</v>
      </c>
      <c r="F34" s="94">
        <v>0</v>
      </c>
      <c r="G34" s="94">
        <v>0</v>
      </c>
      <c r="H34" s="95">
        <v>0</v>
      </c>
      <c r="J34" s="107"/>
      <c r="K34" s="107"/>
      <c r="L34" s="107"/>
      <c r="M34" s="107"/>
      <c r="N34" s="107"/>
      <c r="O34" s="107"/>
    </row>
    <row r="35" spans="1:15" hidden="1" x14ac:dyDescent="0.2">
      <c r="A35" s="91"/>
      <c r="H35" s="97"/>
    </row>
    <row r="36" spans="1:15" ht="18" hidden="1" x14ac:dyDescent="0.25">
      <c r="A36" s="325" t="s">
        <v>35</v>
      </c>
      <c r="B36" s="326"/>
      <c r="C36" s="326"/>
      <c r="D36" s="326"/>
      <c r="E36" s="326"/>
      <c r="F36" s="326"/>
      <c r="G36" s="326"/>
      <c r="H36" s="327"/>
    </row>
    <row r="37" spans="1:15" hidden="1" x14ac:dyDescent="0.2">
      <c r="A37" s="328" t="s">
        <v>0</v>
      </c>
      <c r="B37" s="329"/>
      <c r="C37" s="329"/>
      <c r="D37" s="329"/>
      <c r="E37" s="329"/>
      <c r="F37" s="329"/>
      <c r="G37" s="329"/>
      <c r="H37" s="90"/>
    </row>
    <row r="38" spans="1:15" hidden="1" x14ac:dyDescent="0.2">
      <c r="A38" s="91" t="s">
        <v>4</v>
      </c>
      <c r="B38" s="92" t="s">
        <v>4</v>
      </c>
      <c r="C38" s="155" t="s">
        <v>29</v>
      </c>
      <c r="D38" s="154" t="s">
        <v>30</v>
      </c>
      <c r="E38" s="154" t="s">
        <v>31</v>
      </c>
      <c r="F38" s="154" t="s">
        <v>32</v>
      </c>
      <c r="G38" s="154" t="s">
        <v>33</v>
      </c>
      <c r="H38" s="90" t="s">
        <v>34</v>
      </c>
    </row>
    <row r="39" spans="1:15" hidden="1" x14ac:dyDescent="0.2">
      <c r="A39" s="91">
        <v>18</v>
      </c>
      <c r="B39" s="93" t="s">
        <v>152</v>
      </c>
      <c r="C39" s="114">
        <v>4135.59</v>
      </c>
      <c r="D39" s="150">
        <v>2515.9100000000003</v>
      </c>
      <c r="E39" s="150">
        <v>1723.0300000000002</v>
      </c>
      <c r="F39" s="150">
        <v>1240.73</v>
      </c>
      <c r="G39" s="150">
        <v>878.74</v>
      </c>
      <c r="H39" s="163">
        <v>672.04000000000008</v>
      </c>
    </row>
    <row r="40" spans="1:15" hidden="1" x14ac:dyDescent="0.2">
      <c r="A40" s="91">
        <v>25</v>
      </c>
      <c r="B40" s="93" t="s">
        <v>5</v>
      </c>
      <c r="C40" s="114">
        <v>4342.29</v>
      </c>
      <c r="D40" s="150">
        <v>2636.2200000000003</v>
      </c>
      <c r="E40" s="150">
        <v>1912.7700000000002</v>
      </c>
      <c r="F40" s="150">
        <v>1378.53</v>
      </c>
      <c r="G40" s="150">
        <v>965.13</v>
      </c>
      <c r="H40" s="163">
        <v>740.94</v>
      </c>
    </row>
    <row r="41" spans="1:15" hidden="1" x14ac:dyDescent="0.2">
      <c r="A41" s="91">
        <v>30</v>
      </c>
      <c r="B41" s="93" t="s">
        <v>6</v>
      </c>
      <c r="C41" s="114">
        <v>4532.0300000000007</v>
      </c>
      <c r="D41" s="150">
        <v>2757.06</v>
      </c>
      <c r="E41" s="150">
        <v>2050.5700000000002</v>
      </c>
      <c r="F41" s="150">
        <v>1533.8200000000002</v>
      </c>
      <c r="G41" s="150">
        <v>1171.8300000000002</v>
      </c>
      <c r="H41" s="163">
        <v>896.23</v>
      </c>
    </row>
    <row r="42" spans="1:15" hidden="1" x14ac:dyDescent="0.2">
      <c r="A42" s="91">
        <v>35</v>
      </c>
      <c r="B42" s="93" t="s">
        <v>7</v>
      </c>
      <c r="C42" s="114">
        <v>5066.2700000000004</v>
      </c>
      <c r="D42" s="150">
        <v>3084.6000000000004</v>
      </c>
      <c r="E42" s="150">
        <v>2291.7200000000003</v>
      </c>
      <c r="F42" s="150">
        <v>1723.0300000000002</v>
      </c>
      <c r="G42" s="150">
        <v>1309.6300000000001</v>
      </c>
      <c r="H42" s="163">
        <v>999.58</v>
      </c>
    </row>
    <row r="43" spans="1:15" hidden="1" x14ac:dyDescent="0.2">
      <c r="A43" s="91">
        <v>40</v>
      </c>
      <c r="B43" s="93" t="s">
        <v>8</v>
      </c>
      <c r="C43" s="114">
        <v>5738.31</v>
      </c>
      <c r="D43" s="150">
        <v>3584.3900000000003</v>
      </c>
      <c r="E43" s="150">
        <v>2515.9100000000003</v>
      </c>
      <c r="F43" s="150">
        <v>1912.7700000000002</v>
      </c>
      <c r="G43" s="150">
        <v>1447.43</v>
      </c>
      <c r="H43" s="163">
        <v>1102.93</v>
      </c>
    </row>
    <row r="44" spans="1:15" hidden="1" x14ac:dyDescent="0.2">
      <c r="A44" s="91">
        <v>45</v>
      </c>
      <c r="B44" s="93" t="s">
        <v>9</v>
      </c>
      <c r="C44" s="114">
        <v>6410.35</v>
      </c>
      <c r="D44" s="150">
        <v>3997.7900000000004</v>
      </c>
      <c r="E44" s="150">
        <v>2809</v>
      </c>
      <c r="F44" s="150">
        <v>2136.96</v>
      </c>
      <c r="G44" s="150">
        <v>1619.68</v>
      </c>
      <c r="H44" s="163">
        <v>1240.73</v>
      </c>
    </row>
    <row r="45" spans="1:15" hidden="1" x14ac:dyDescent="0.2">
      <c r="A45" s="91">
        <v>50</v>
      </c>
      <c r="B45" s="93" t="s">
        <v>10</v>
      </c>
      <c r="C45" s="114">
        <v>8460.92</v>
      </c>
      <c r="D45" s="150">
        <v>5221.0300000000007</v>
      </c>
      <c r="E45" s="150">
        <v>3704.7000000000003</v>
      </c>
      <c r="F45" s="150">
        <v>2809</v>
      </c>
      <c r="G45" s="150">
        <v>2309.21</v>
      </c>
      <c r="H45" s="163">
        <v>1774.97</v>
      </c>
    </row>
    <row r="46" spans="1:15" hidden="1" x14ac:dyDescent="0.2">
      <c r="A46" s="91">
        <v>55</v>
      </c>
      <c r="B46" s="93" t="s">
        <v>11</v>
      </c>
      <c r="C46" s="114">
        <v>8994.630000000001</v>
      </c>
      <c r="D46" s="150">
        <v>5565.5300000000007</v>
      </c>
      <c r="E46" s="150">
        <v>3945.8500000000004</v>
      </c>
      <c r="F46" s="150">
        <v>2998.21</v>
      </c>
      <c r="G46" s="150">
        <v>2463.9700000000003</v>
      </c>
      <c r="H46" s="163">
        <v>1878.3200000000002</v>
      </c>
    </row>
    <row r="47" spans="1:15" hidden="1" x14ac:dyDescent="0.2">
      <c r="A47" s="91">
        <v>60</v>
      </c>
      <c r="B47" s="93"/>
      <c r="C47" s="114">
        <v>9546.36</v>
      </c>
      <c r="D47" s="150">
        <v>6048.3600000000006</v>
      </c>
      <c r="E47" s="150">
        <v>4290.88</v>
      </c>
      <c r="F47" s="150">
        <v>3411.61</v>
      </c>
      <c r="G47" s="150">
        <v>2929.31</v>
      </c>
      <c r="H47" s="163">
        <v>2360.6200000000003</v>
      </c>
    </row>
    <row r="48" spans="1:15" hidden="1" x14ac:dyDescent="0.2">
      <c r="A48" s="91">
        <v>61</v>
      </c>
      <c r="B48" s="93"/>
      <c r="C48" s="114">
        <v>10252.85</v>
      </c>
      <c r="D48" s="150">
        <v>6496.21</v>
      </c>
      <c r="E48" s="150">
        <v>4600.93</v>
      </c>
      <c r="F48" s="150">
        <v>3653.29</v>
      </c>
      <c r="G48" s="150">
        <v>3153.5</v>
      </c>
      <c r="H48" s="163">
        <v>2532.8700000000003</v>
      </c>
    </row>
    <row r="49" spans="1:8" hidden="1" x14ac:dyDescent="0.2">
      <c r="A49" s="91">
        <v>62</v>
      </c>
      <c r="B49" s="93"/>
      <c r="C49" s="114">
        <v>11217.980000000001</v>
      </c>
      <c r="D49" s="150">
        <v>7116.84</v>
      </c>
      <c r="E49" s="150">
        <v>5031.8200000000006</v>
      </c>
      <c r="F49" s="150">
        <v>3997.7900000000004</v>
      </c>
      <c r="G49" s="150">
        <v>3446.0600000000004</v>
      </c>
      <c r="H49" s="163">
        <v>2774.02</v>
      </c>
    </row>
    <row r="50" spans="1:8" hidden="1" x14ac:dyDescent="0.2">
      <c r="A50" s="91">
        <v>63</v>
      </c>
      <c r="B50" s="93"/>
      <c r="C50" s="114">
        <v>11924.470000000001</v>
      </c>
      <c r="D50" s="150">
        <v>7564.6900000000005</v>
      </c>
      <c r="E50" s="150">
        <v>5358.83</v>
      </c>
      <c r="F50" s="150">
        <v>4256.43</v>
      </c>
      <c r="G50" s="150">
        <v>3670.25</v>
      </c>
      <c r="H50" s="163">
        <v>2946.8</v>
      </c>
    </row>
    <row r="51" spans="1:8" hidden="1" x14ac:dyDescent="0.2">
      <c r="A51" s="91">
        <v>64</v>
      </c>
      <c r="B51" s="93"/>
      <c r="C51" s="114">
        <v>12906.560000000001</v>
      </c>
      <c r="D51" s="150">
        <v>8184.79</v>
      </c>
      <c r="E51" s="150">
        <v>5789.72</v>
      </c>
      <c r="F51" s="150">
        <v>4600.93</v>
      </c>
      <c r="G51" s="150">
        <v>3963.34</v>
      </c>
      <c r="H51" s="163">
        <v>3187.9500000000003</v>
      </c>
    </row>
    <row r="52" spans="1:8" hidden="1" x14ac:dyDescent="0.2">
      <c r="A52" s="91">
        <v>65</v>
      </c>
      <c r="B52" s="93"/>
      <c r="C52" s="114">
        <v>13526.66</v>
      </c>
      <c r="D52" s="150">
        <v>10700.7</v>
      </c>
      <c r="E52" s="150">
        <v>7564.6900000000005</v>
      </c>
      <c r="F52" s="150">
        <v>5824.17</v>
      </c>
      <c r="G52" s="150">
        <v>5289.93</v>
      </c>
      <c r="H52" s="163">
        <v>4497.58</v>
      </c>
    </row>
    <row r="53" spans="1:8" hidden="1" x14ac:dyDescent="0.2">
      <c r="A53" s="91">
        <v>66</v>
      </c>
      <c r="B53" s="93"/>
      <c r="C53" s="114">
        <v>14129.800000000001</v>
      </c>
      <c r="D53" s="150">
        <v>12441.220000000001</v>
      </c>
      <c r="E53" s="150">
        <v>8787.93</v>
      </c>
      <c r="F53" s="150">
        <v>6771.81</v>
      </c>
      <c r="G53" s="150">
        <v>6151.71</v>
      </c>
      <c r="H53" s="163">
        <v>5221.0300000000007</v>
      </c>
    </row>
    <row r="54" spans="1:8" hidden="1" x14ac:dyDescent="0.2">
      <c r="A54" s="91">
        <v>67</v>
      </c>
      <c r="B54" s="93"/>
      <c r="C54" s="114">
        <v>15439.43</v>
      </c>
      <c r="D54" s="150">
        <v>13578.6</v>
      </c>
      <c r="E54" s="150">
        <v>9597.77</v>
      </c>
      <c r="F54" s="150">
        <v>7392.4400000000005</v>
      </c>
      <c r="G54" s="150">
        <v>6720.4000000000005</v>
      </c>
      <c r="H54" s="163">
        <v>5703.8600000000006</v>
      </c>
    </row>
    <row r="55" spans="1:8" hidden="1" x14ac:dyDescent="0.2">
      <c r="A55" s="91">
        <v>68</v>
      </c>
      <c r="B55" s="93"/>
      <c r="C55" s="114">
        <v>17076.600000000002</v>
      </c>
      <c r="D55" s="150">
        <v>15042.990000000002</v>
      </c>
      <c r="E55" s="150">
        <v>10631.800000000001</v>
      </c>
      <c r="F55" s="150">
        <v>8184.79</v>
      </c>
      <c r="G55" s="150">
        <v>7443.85</v>
      </c>
      <c r="H55" s="163">
        <v>6323.96</v>
      </c>
    </row>
    <row r="56" spans="1:8" hidden="1" x14ac:dyDescent="0.2">
      <c r="A56" s="91">
        <v>69</v>
      </c>
      <c r="B56" s="93"/>
      <c r="C56" s="114">
        <v>18782.14</v>
      </c>
      <c r="D56" s="150">
        <v>16542.36</v>
      </c>
      <c r="E56" s="150">
        <v>11682.79</v>
      </c>
      <c r="F56" s="150">
        <v>9012.1200000000008</v>
      </c>
      <c r="G56" s="150">
        <v>8184.79</v>
      </c>
      <c r="H56" s="163">
        <v>6944.06</v>
      </c>
    </row>
    <row r="57" spans="1:8" hidden="1" x14ac:dyDescent="0.2">
      <c r="A57" s="91">
        <v>70</v>
      </c>
      <c r="B57" s="93"/>
      <c r="C57" s="114">
        <v>22228.73</v>
      </c>
      <c r="D57" s="150">
        <v>20367.900000000001</v>
      </c>
      <c r="E57" s="150">
        <v>14233.150000000001</v>
      </c>
      <c r="F57" s="150">
        <v>10597.35</v>
      </c>
      <c r="G57" s="150">
        <v>9528.8700000000008</v>
      </c>
      <c r="H57" s="163">
        <v>8167.8300000000008</v>
      </c>
    </row>
    <row r="58" spans="1:8" hidden="1" x14ac:dyDescent="0.2">
      <c r="A58" s="91">
        <v>71</v>
      </c>
      <c r="B58" s="93"/>
      <c r="C58" s="114">
        <v>23107.47</v>
      </c>
      <c r="D58" s="150">
        <v>21160.25</v>
      </c>
      <c r="E58" s="150">
        <v>14784.880000000001</v>
      </c>
      <c r="F58" s="150">
        <v>11010.75</v>
      </c>
      <c r="G58" s="150">
        <v>9908.35</v>
      </c>
      <c r="H58" s="163">
        <v>8495.3700000000008</v>
      </c>
    </row>
    <row r="59" spans="1:8" hidden="1" x14ac:dyDescent="0.2">
      <c r="A59" s="91">
        <v>72</v>
      </c>
      <c r="B59" s="93"/>
      <c r="C59" s="114">
        <v>23762.550000000003</v>
      </c>
      <c r="D59" s="150">
        <v>21763.39</v>
      </c>
      <c r="E59" s="150">
        <v>15215.240000000002</v>
      </c>
      <c r="F59" s="150">
        <v>11321.33</v>
      </c>
      <c r="G59" s="150">
        <v>10183.950000000001</v>
      </c>
      <c r="H59" s="163">
        <v>8736.52</v>
      </c>
    </row>
    <row r="60" spans="1:8" hidden="1" x14ac:dyDescent="0.2">
      <c r="A60" s="91">
        <v>73</v>
      </c>
      <c r="B60" s="93"/>
      <c r="C60" s="114">
        <v>24623.800000000003</v>
      </c>
      <c r="D60" s="150">
        <v>22556.27</v>
      </c>
      <c r="E60" s="150">
        <v>15766.970000000001</v>
      </c>
      <c r="F60" s="150">
        <v>11734.730000000001</v>
      </c>
      <c r="G60" s="150">
        <v>10562.9</v>
      </c>
      <c r="H60" s="163">
        <v>9063.5300000000007</v>
      </c>
    </row>
    <row r="61" spans="1:8" hidden="1" x14ac:dyDescent="0.2">
      <c r="A61" s="91">
        <v>74</v>
      </c>
      <c r="B61" s="93"/>
      <c r="C61" s="114">
        <v>25071.65</v>
      </c>
      <c r="D61" s="150">
        <v>22969.670000000002</v>
      </c>
      <c r="E61" s="150">
        <v>16042.570000000002</v>
      </c>
      <c r="F61" s="150">
        <v>11958.92</v>
      </c>
      <c r="G61" s="150">
        <v>10752.640000000001</v>
      </c>
      <c r="H61" s="163">
        <v>9218.82</v>
      </c>
    </row>
    <row r="62" spans="1:8" hidden="1" x14ac:dyDescent="0.2">
      <c r="A62" s="91">
        <v>75</v>
      </c>
      <c r="B62" s="93" t="s">
        <v>12</v>
      </c>
      <c r="C62" s="114">
        <v>26157.620000000003</v>
      </c>
      <c r="D62" s="150">
        <v>23969.25</v>
      </c>
      <c r="E62" s="150">
        <v>16749.060000000001</v>
      </c>
      <c r="F62" s="150">
        <v>12475.67</v>
      </c>
      <c r="G62" s="150">
        <v>11217.980000000001</v>
      </c>
      <c r="H62" s="163">
        <v>9615.26</v>
      </c>
    </row>
    <row r="63" spans="1:8" hidden="1" x14ac:dyDescent="0.2">
      <c r="A63" s="91">
        <v>1</v>
      </c>
      <c r="B63" s="93" t="s">
        <v>13</v>
      </c>
      <c r="C63" s="114">
        <v>1395.49</v>
      </c>
      <c r="D63" s="150">
        <v>878.74</v>
      </c>
      <c r="E63" s="150">
        <v>637.59</v>
      </c>
      <c r="F63" s="150">
        <v>499.79</v>
      </c>
      <c r="G63" s="150">
        <v>430.89000000000004</v>
      </c>
      <c r="H63" s="163">
        <v>310.05</v>
      </c>
    </row>
    <row r="64" spans="1:8" hidden="1" x14ac:dyDescent="0.2">
      <c r="A64" s="91">
        <v>2</v>
      </c>
      <c r="B64" s="93" t="s">
        <v>1</v>
      </c>
      <c r="C64" s="114">
        <v>2188.37</v>
      </c>
      <c r="D64" s="150">
        <v>1395.49</v>
      </c>
      <c r="E64" s="150">
        <v>1016.5400000000001</v>
      </c>
      <c r="F64" s="150">
        <v>792.88</v>
      </c>
      <c r="G64" s="150">
        <v>672.04000000000008</v>
      </c>
      <c r="H64" s="163">
        <v>499.79</v>
      </c>
    </row>
    <row r="65" spans="1:15" hidden="1" x14ac:dyDescent="0.2">
      <c r="A65" s="91">
        <v>3</v>
      </c>
      <c r="B65" s="93" t="s">
        <v>14</v>
      </c>
      <c r="C65" s="114">
        <v>3187.9500000000003</v>
      </c>
      <c r="D65" s="150">
        <v>2033.0800000000002</v>
      </c>
      <c r="E65" s="150">
        <v>1481.88</v>
      </c>
      <c r="F65" s="150">
        <v>1171.8300000000002</v>
      </c>
      <c r="G65" s="150">
        <v>982.09</v>
      </c>
      <c r="H65" s="163">
        <v>723.98</v>
      </c>
    </row>
    <row r="66" spans="1:15" hidden="1" x14ac:dyDescent="0.2">
      <c r="A66" s="91">
        <v>1</v>
      </c>
      <c r="B66" s="93" t="s">
        <v>3</v>
      </c>
      <c r="C66" s="114">
        <f t="shared" ref="C66:H67" si="0">+C33*$L$2</f>
        <v>0</v>
      </c>
      <c r="D66" s="94">
        <f t="shared" si="0"/>
        <v>0</v>
      </c>
      <c r="E66" s="94">
        <f t="shared" si="0"/>
        <v>0</v>
      </c>
      <c r="F66" s="94">
        <f t="shared" si="0"/>
        <v>119.25</v>
      </c>
      <c r="G66" s="94">
        <f t="shared" si="0"/>
        <v>119.25</v>
      </c>
      <c r="H66" s="95">
        <f t="shared" si="0"/>
        <v>119.25</v>
      </c>
    </row>
    <row r="67" spans="1:15" ht="13.5" hidden="1" thickBot="1" x14ac:dyDescent="0.25">
      <c r="A67" s="98">
        <v>1</v>
      </c>
      <c r="B67" s="99" t="s">
        <v>2</v>
      </c>
      <c r="C67" s="121">
        <f t="shared" si="0"/>
        <v>0</v>
      </c>
      <c r="D67" s="100">
        <f t="shared" si="0"/>
        <v>0</v>
      </c>
      <c r="E67" s="100">
        <f t="shared" si="0"/>
        <v>0</v>
      </c>
      <c r="F67" s="100">
        <f t="shared" si="0"/>
        <v>0</v>
      </c>
      <c r="G67" s="100">
        <f t="shared" si="0"/>
        <v>0</v>
      </c>
      <c r="H67" s="101">
        <f t="shared" si="0"/>
        <v>0</v>
      </c>
    </row>
    <row r="68" spans="1:15" ht="13.5" hidden="1" thickBot="1" x14ac:dyDescent="0.25"/>
    <row r="69" spans="1:15" ht="18" hidden="1" x14ac:dyDescent="0.25">
      <c r="A69" s="335" t="s">
        <v>36</v>
      </c>
      <c r="B69" s="336"/>
      <c r="C69" s="336"/>
      <c r="D69" s="336"/>
      <c r="E69" s="336"/>
      <c r="F69" s="336"/>
      <c r="G69" s="336"/>
      <c r="H69" s="337"/>
    </row>
    <row r="70" spans="1:15" ht="18" hidden="1" x14ac:dyDescent="0.25">
      <c r="A70" s="330" t="s">
        <v>28</v>
      </c>
      <c r="B70" s="331"/>
      <c r="C70" s="331"/>
      <c r="D70" s="331"/>
      <c r="E70" s="331"/>
      <c r="F70" s="331"/>
      <c r="G70" s="331"/>
      <c r="H70" s="332"/>
    </row>
    <row r="71" spans="1:15" hidden="1" x14ac:dyDescent="0.2">
      <c r="A71" s="333" t="s">
        <v>0</v>
      </c>
      <c r="B71" s="334"/>
      <c r="C71" s="334"/>
      <c r="D71" s="334"/>
      <c r="E71" s="334"/>
      <c r="F71" s="334"/>
      <c r="G71" s="334"/>
      <c r="H71" s="108"/>
    </row>
    <row r="72" spans="1:15" hidden="1" x14ac:dyDescent="0.2">
      <c r="A72" s="109" t="s">
        <v>4</v>
      </c>
      <c r="B72" s="110" t="s">
        <v>4</v>
      </c>
      <c r="C72" s="111" t="s">
        <v>37</v>
      </c>
      <c r="D72" s="111" t="s">
        <v>38</v>
      </c>
      <c r="E72" s="111" t="s">
        <v>39</v>
      </c>
      <c r="F72" s="111" t="s">
        <v>40</v>
      </c>
      <c r="G72" s="111" t="s">
        <v>41</v>
      </c>
      <c r="H72" s="112" t="s">
        <v>42</v>
      </c>
    </row>
    <row r="73" spans="1:15" hidden="1" x14ac:dyDescent="0.2">
      <c r="A73" s="109">
        <v>18</v>
      </c>
      <c r="B73" s="113" t="s">
        <v>152</v>
      </c>
      <c r="C73" s="114">
        <v>4794</v>
      </c>
      <c r="D73" s="114">
        <v>2952</v>
      </c>
      <c r="E73" s="114">
        <v>1949</v>
      </c>
      <c r="F73" s="114">
        <v>1401</v>
      </c>
      <c r="G73" s="114">
        <v>993</v>
      </c>
      <c r="H73" s="115">
        <v>779</v>
      </c>
      <c r="J73" s="107"/>
      <c r="K73" s="107"/>
      <c r="L73" s="107"/>
      <c r="M73" s="107"/>
      <c r="N73" s="107"/>
      <c r="O73" s="107"/>
    </row>
    <row r="74" spans="1:15" hidden="1" x14ac:dyDescent="0.2">
      <c r="A74" s="109">
        <v>25</v>
      </c>
      <c r="B74" s="113" t="s">
        <v>5</v>
      </c>
      <c r="C74" s="114">
        <v>5028</v>
      </c>
      <c r="D74" s="114">
        <v>3097</v>
      </c>
      <c r="E74" s="114">
        <v>2156</v>
      </c>
      <c r="F74" s="114">
        <v>1553</v>
      </c>
      <c r="G74" s="114">
        <v>1103</v>
      </c>
      <c r="H74" s="115">
        <v>867</v>
      </c>
      <c r="J74" s="107"/>
      <c r="K74" s="107"/>
      <c r="L74" s="107"/>
      <c r="M74" s="107"/>
      <c r="N74" s="107"/>
      <c r="O74" s="107"/>
    </row>
    <row r="75" spans="1:15" hidden="1" x14ac:dyDescent="0.2">
      <c r="A75" s="109">
        <v>30</v>
      </c>
      <c r="B75" s="113" t="s">
        <v>6</v>
      </c>
      <c r="C75" s="114">
        <v>5200</v>
      </c>
      <c r="D75" s="114">
        <v>3223</v>
      </c>
      <c r="E75" s="114">
        <v>2312</v>
      </c>
      <c r="F75" s="114">
        <v>1743</v>
      </c>
      <c r="G75" s="114">
        <v>1322</v>
      </c>
      <c r="H75" s="115">
        <v>1041</v>
      </c>
      <c r="J75" s="107"/>
      <c r="K75" s="107"/>
      <c r="L75" s="107"/>
      <c r="M75" s="107"/>
      <c r="N75" s="107"/>
      <c r="O75" s="107"/>
    </row>
    <row r="76" spans="1:15" hidden="1" x14ac:dyDescent="0.2">
      <c r="A76" s="109">
        <v>35</v>
      </c>
      <c r="B76" s="113" t="s">
        <v>7</v>
      </c>
      <c r="C76" s="114">
        <v>5816</v>
      </c>
      <c r="D76" s="114">
        <v>3609</v>
      </c>
      <c r="E76" s="114">
        <v>2590</v>
      </c>
      <c r="F76" s="114">
        <v>1951</v>
      </c>
      <c r="G76" s="114">
        <v>1483</v>
      </c>
      <c r="H76" s="115">
        <v>1168</v>
      </c>
      <c r="J76" s="107"/>
      <c r="K76" s="107"/>
      <c r="L76" s="107"/>
      <c r="M76" s="107"/>
      <c r="N76" s="107"/>
      <c r="O76" s="107"/>
    </row>
    <row r="77" spans="1:15" hidden="1" x14ac:dyDescent="0.2">
      <c r="A77" s="109">
        <v>40</v>
      </c>
      <c r="B77" s="113" t="s">
        <v>8</v>
      </c>
      <c r="C77" s="114">
        <v>6733</v>
      </c>
      <c r="D77" s="114">
        <v>4186</v>
      </c>
      <c r="E77" s="114">
        <v>2831</v>
      </c>
      <c r="F77" s="114">
        <v>2168</v>
      </c>
      <c r="G77" s="114">
        <v>1630</v>
      </c>
      <c r="H77" s="115">
        <v>1284</v>
      </c>
      <c r="J77" s="107"/>
      <c r="K77" s="107"/>
      <c r="L77" s="107"/>
      <c r="M77" s="107"/>
      <c r="N77" s="107"/>
      <c r="O77" s="107"/>
    </row>
    <row r="78" spans="1:15" hidden="1" x14ac:dyDescent="0.2">
      <c r="A78" s="109">
        <v>45</v>
      </c>
      <c r="B78" s="113" t="s">
        <v>9</v>
      </c>
      <c r="C78" s="114">
        <v>7517</v>
      </c>
      <c r="D78" s="114">
        <v>4680</v>
      </c>
      <c r="E78" s="114">
        <v>3168</v>
      </c>
      <c r="F78" s="114">
        <v>2425</v>
      </c>
      <c r="G78" s="114">
        <v>1824</v>
      </c>
      <c r="H78" s="115">
        <v>1436</v>
      </c>
      <c r="J78" s="107"/>
      <c r="K78" s="107"/>
      <c r="L78" s="107"/>
      <c r="M78" s="107"/>
      <c r="N78" s="107"/>
      <c r="O78" s="107"/>
    </row>
    <row r="79" spans="1:15" hidden="1" x14ac:dyDescent="0.2">
      <c r="A79" s="109">
        <v>50</v>
      </c>
      <c r="B79" s="113" t="s">
        <v>10</v>
      </c>
      <c r="C79" s="114">
        <v>9772</v>
      </c>
      <c r="D79" s="114">
        <v>5991</v>
      </c>
      <c r="E79" s="114">
        <v>4158</v>
      </c>
      <c r="F79" s="114">
        <v>3164</v>
      </c>
      <c r="G79" s="114">
        <v>2578</v>
      </c>
      <c r="H79" s="115">
        <v>2033</v>
      </c>
      <c r="J79" s="107"/>
      <c r="K79" s="107"/>
      <c r="L79" s="107"/>
      <c r="M79" s="107"/>
      <c r="N79" s="107"/>
      <c r="O79" s="107"/>
    </row>
    <row r="80" spans="1:15" hidden="1" x14ac:dyDescent="0.2">
      <c r="A80" s="109">
        <v>55</v>
      </c>
      <c r="B80" s="113" t="s">
        <v>11</v>
      </c>
      <c r="C80" s="114">
        <v>10394</v>
      </c>
      <c r="D80" s="114">
        <v>6374</v>
      </c>
      <c r="E80" s="114">
        <v>4426</v>
      </c>
      <c r="F80" s="114">
        <v>3365</v>
      </c>
      <c r="G80" s="114">
        <v>2744</v>
      </c>
      <c r="H80" s="115">
        <v>2164</v>
      </c>
      <c r="J80" s="107"/>
      <c r="K80" s="107"/>
      <c r="L80" s="107"/>
      <c r="M80" s="107"/>
      <c r="N80" s="107"/>
      <c r="O80" s="107"/>
    </row>
    <row r="81" spans="1:15" hidden="1" x14ac:dyDescent="0.2">
      <c r="A81" s="109">
        <v>60</v>
      </c>
      <c r="B81" s="113"/>
      <c r="C81" s="114">
        <v>11056</v>
      </c>
      <c r="D81" s="114">
        <v>6945</v>
      </c>
      <c r="E81" s="114">
        <v>4828</v>
      </c>
      <c r="F81" s="114">
        <v>3871</v>
      </c>
      <c r="G81" s="114">
        <v>3307</v>
      </c>
      <c r="H81" s="115">
        <v>2688</v>
      </c>
      <c r="J81" s="107"/>
      <c r="K81" s="107"/>
      <c r="L81" s="107"/>
      <c r="M81" s="107"/>
      <c r="N81" s="107"/>
      <c r="O81" s="107"/>
    </row>
    <row r="82" spans="1:15" hidden="1" x14ac:dyDescent="0.2">
      <c r="A82" s="109">
        <v>61</v>
      </c>
      <c r="B82" s="113"/>
      <c r="C82" s="114">
        <v>11876</v>
      </c>
      <c r="D82" s="114">
        <v>7463</v>
      </c>
      <c r="E82" s="114">
        <v>5187</v>
      </c>
      <c r="F82" s="114">
        <v>4159</v>
      </c>
      <c r="G82" s="114">
        <v>3555</v>
      </c>
      <c r="H82" s="115">
        <v>2886</v>
      </c>
      <c r="J82" s="107"/>
      <c r="K82" s="107"/>
      <c r="L82" s="107"/>
      <c r="M82" s="107"/>
      <c r="N82" s="107"/>
      <c r="O82" s="107"/>
    </row>
    <row r="83" spans="1:15" hidden="1" x14ac:dyDescent="0.2">
      <c r="A83" s="109">
        <v>62</v>
      </c>
      <c r="B83" s="113"/>
      <c r="C83" s="114">
        <v>12994</v>
      </c>
      <c r="D83" s="114">
        <v>8172</v>
      </c>
      <c r="E83" s="114">
        <v>5684</v>
      </c>
      <c r="F83" s="114">
        <v>4557</v>
      </c>
      <c r="G83" s="114">
        <v>3892</v>
      </c>
      <c r="H83" s="115">
        <v>3162</v>
      </c>
      <c r="J83" s="107"/>
      <c r="K83" s="107"/>
      <c r="L83" s="107"/>
      <c r="M83" s="107"/>
      <c r="N83" s="107"/>
      <c r="O83" s="107"/>
    </row>
    <row r="84" spans="1:15" hidden="1" x14ac:dyDescent="0.2">
      <c r="A84" s="109">
        <v>63</v>
      </c>
      <c r="B84" s="113"/>
      <c r="C84" s="114">
        <v>13812</v>
      </c>
      <c r="D84" s="114">
        <v>8687</v>
      </c>
      <c r="E84" s="114">
        <v>6042</v>
      </c>
      <c r="F84" s="114">
        <v>4844</v>
      </c>
      <c r="G84" s="114">
        <v>4139</v>
      </c>
      <c r="H84" s="115">
        <v>3362</v>
      </c>
      <c r="J84" s="107"/>
      <c r="K84" s="107"/>
      <c r="L84" s="107"/>
      <c r="M84" s="107"/>
      <c r="N84" s="107"/>
      <c r="O84" s="107"/>
    </row>
    <row r="85" spans="1:15" hidden="1" x14ac:dyDescent="0.2">
      <c r="A85" s="109">
        <v>64</v>
      </c>
      <c r="B85" s="113"/>
      <c r="C85" s="114">
        <v>14936</v>
      </c>
      <c r="D85" s="114">
        <v>9396</v>
      </c>
      <c r="E85" s="114">
        <v>6539</v>
      </c>
      <c r="F85" s="114">
        <v>5242</v>
      </c>
      <c r="G85" s="114">
        <v>4475</v>
      </c>
      <c r="H85" s="115">
        <v>3639</v>
      </c>
      <c r="J85" s="107"/>
      <c r="K85" s="107"/>
      <c r="L85" s="107"/>
      <c r="M85" s="107"/>
      <c r="N85" s="107"/>
      <c r="O85" s="107"/>
    </row>
    <row r="86" spans="1:15" hidden="1" x14ac:dyDescent="0.2">
      <c r="A86" s="109">
        <v>65</v>
      </c>
      <c r="B86" s="113"/>
      <c r="C86" s="114">
        <v>15651</v>
      </c>
      <c r="D86" s="114">
        <v>12288</v>
      </c>
      <c r="E86" s="114">
        <v>8530</v>
      </c>
      <c r="F86" s="114">
        <v>6629</v>
      </c>
      <c r="G86" s="114">
        <v>5974</v>
      </c>
      <c r="H86" s="115">
        <v>5139</v>
      </c>
      <c r="J86" s="107"/>
      <c r="K86" s="107"/>
      <c r="L86" s="107"/>
      <c r="M86" s="107"/>
      <c r="N86" s="107"/>
      <c r="O86" s="107"/>
    </row>
    <row r="87" spans="1:15" hidden="1" x14ac:dyDescent="0.2">
      <c r="A87" s="109">
        <v>66</v>
      </c>
      <c r="B87" s="113"/>
      <c r="C87" s="114">
        <v>16363</v>
      </c>
      <c r="D87" s="114">
        <v>14275</v>
      </c>
      <c r="E87" s="114">
        <v>9911</v>
      </c>
      <c r="F87" s="114">
        <v>7703</v>
      </c>
      <c r="G87" s="114">
        <v>6942</v>
      </c>
      <c r="H87" s="115">
        <v>5968</v>
      </c>
      <c r="J87" s="107"/>
      <c r="K87" s="107"/>
      <c r="L87" s="107"/>
      <c r="M87" s="107"/>
      <c r="N87" s="107"/>
      <c r="O87" s="107"/>
    </row>
    <row r="88" spans="1:15" hidden="1" x14ac:dyDescent="0.2">
      <c r="A88" s="109">
        <v>67</v>
      </c>
      <c r="B88" s="113"/>
      <c r="C88" s="114">
        <v>17867</v>
      </c>
      <c r="D88" s="114">
        <v>15595</v>
      </c>
      <c r="E88" s="114">
        <v>10826</v>
      </c>
      <c r="F88" s="114">
        <v>8416</v>
      </c>
      <c r="G88" s="114">
        <v>7581</v>
      </c>
      <c r="H88" s="115">
        <v>6521</v>
      </c>
      <c r="J88" s="107"/>
      <c r="K88" s="107"/>
      <c r="L88" s="107"/>
      <c r="M88" s="107"/>
      <c r="N88" s="107"/>
      <c r="O88" s="107"/>
    </row>
    <row r="89" spans="1:15" hidden="1" x14ac:dyDescent="0.2">
      <c r="A89" s="109">
        <v>68</v>
      </c>
      <c r="B89" s="113"/>
      <c r="C89" s="114">
        <v>19780</v>
      </c>
      <c r="D89" s="114">
        <v>17268</v>
      </c>
      <c r="E89" s="114">
        <v>11986</v>
      </c>
      <c r="F89" s="114">
        <v>9320</v>
      </c>
      <c r="G89" s="114">
        <v>8398</v>
      </c>
      <c r="H89" s="115">
        <v>7220</v>
      </c>
      <c r="J89" s="107"/>
      <c r="K89" s="107"/>
      <c r="L89" s="107"/>
      <c r="M89" s="107"/>
      <c r="N89" s="107"/>
      <c r="O89" s="107"/>
    </row>
    <row r="90" spans="1:15" hidden="1" x14ac:dyDescent="0.2">
      <c r="A90" s="109">
        <v>69</v>
      </c>
      <c r="B90" s="113"/>
      <c r="C90" s="114">
        <v>21758</v>
      </c>
      <c r="D90" s="114">
        <v>18999</v>
      </c>
      <c r="E90" s="114">
        <v>13190</v>
      </c>
      <c r="F90" s="114">
        <v>10254</v>
      </c>
      <c r="G90" s="114">
        <v>9240</v>
      </c>
      <c r="H90" s="115">
        <v>7945</v>
      </c>
      <c r="J90" s="107"/>
      <c r="K90" s="107"/>
      <c r="L90" s="107"/>
      <c r="M90" s="107"/>
      <c r="N90" s="107"/>
      <c r="O90" s="107"/>
    </row>
    <row r="91" spans="1:15" hidden="1" x14ac:dyDescent="0.2">
      <c r="A91" s="109">
        <v>70</v>
      </c>
      <c r="B91" s="113"/>
      <c r="C91" s="114">
        <v>25748</v>
      </c>
      <c r="D91" s="114">
        <v>23384</v>
      </c>
      <c r="E91" s="114">
        <v>16061</v>
      </c>
      <c r="F91" s="114">
        <v>12071</v>
      </c>
      <c r="G91" s="114">
        <v>10768</v>
      </c>
      <c r="H91" s="115">
        <v>9345</v>
      </c>
      <c r="J91" s="107"/>
      <c r="K91" s="107"/>
      <c r="L91" s="107"/>
      <c r="M91" s="107"/>
      <c r="N91" s="107"/>
      <c r="O91" s="107"/>
    </row>
    <row r="92" spans="1:15" hidden="1" x14ac:dyDescent="0.2">
      <c r="A92" s="109">
        <v>71</v>
      </c>
      <c r="B92" s="113"/>
      <c r="C92" s="114">
        <v>26759</v>
      </c>
      <c r="D92" s="114">
        <v>24303</v>
      </c>
      <c r="E92" s="114">
        <v>16691</v>
      </c>
      <c r="F92" s="114">
        <v>12545</v>
      </c>
      <c r="G92" s="114">
        <v>11190</v>
      </c>
      <c r="H92" s="115">
        <v>9716</v>
      </c>
      <c r="J92" s="107"/>
      <c r="K92" s="107"/>
      <c r="L92" s="107"/>
      <c r="M92" s="107"/>
      <c r="N92" s="107"/>
      <c r="O92" s="107"/>
    </row>
    <row r="93" spans="1:15" hidden="1" x14ac:dyDescent="0.2">
      <c r="A93" s="109">
        <v>72</v>
      </c>
      <c r="B93" s="113"/>
      <c r="C93" s="114">
        <v>27512</v>
      </c>
      <c r="D93" s="114">
        <v>24990</v>
      </c>
      <c r="E93" s="114">
        <v>17164</v>
      </c>
      <c r="F93" s="114">
        <v>12900</v>
      </c>
      <c r="G93" s="114">
        <v>11507</v>
      </c>
      <c r="H93" s="115">
        <v>9987</v>
      </c>
      <c r="J93" s="107"/>
      <c r="K93" s="107"/>
      <c r="L93" s="107"/>
      <c r="M93" s="107"/>
      <c r="N93" s="107"/>
      <c r="O93" s="107"/>
    </row>
    <row r="94" spans="1:15" hidden="1" x14ac:dyDescent="0.2">
      <c r="A94" s="109">
        <v>73</v>
      </c>
      <c r="B94" s="113"/>
      <c r="C94" s="114">
        <v>28525</v>
      </c>
      <c r="D94" s="114">
        <v>25911</v>
      </c>
      <c r="E94" s="114">
        <v>17793</v>
      </c>
      <c r="F94" s="114">
        <v>13375</v>
      </c>
      <c r="G94" s="114">
        <v>11931</v>
      </c>
      <c r="H94" s="115">
        <v>10356</v>
      </c>
      <c r="J94" s="107"/>
      <c r="K94" s="107"/>
      <c r="L94" s="107"/>
      <c r="M94" s="107"/>
      <c r="N94" s="107"/>
      <c r="O94" s="107"/>
    </row>
    <row r="95" spans="1:15" hidden="1" x14ac:dyDescent="0.2">
      <c r="A95" s="109">
        <v>74</v>
      </c>
      <c r="B95" s="113"/>
      <c r="C95" s="114">
        <v>29026</v>
      </c>
      <c r="D95" s="114">
        <v>26368</v>
      </c>
      <c r="E95" s="114">
        <v>18111</v>
      </c>
      <c r="F95" s="114">
        <v>13609</v>
      </c>
      <c r="G95" s="114">
        <v>12143</v>
      </c>
      <c r="H95" s="115">
        <v>10540</v>
      </c>
      <c r="J95" s="107"/>
      <c r="K95" s="107"/>
      <c r="L95" s="107"/>
      <c r="M95" s="107"/>
      <c r="N95" s="107"/>
      <c r="O95" s="107"/>
    </row>
    <row r="96" spans="1:15" hidden="1" x14ac:dyDescent="0.2">
      <c r="A96" s="109">
        <v>75</v>
      </c>
      <c r="B96" s="113" t="s">
        <v>12</v>
      </c>
      <c r="C96" s="114">
        <v>30287</v>
      </c>
      <c r="D96" s="114">
        <v>27515</v>
      </c>
      <c r="E96" s="114">
        <v>18898</v>
      </c>
      <c r="F96" s="114">
        <v>14204</v>
      </c>
      <c r="G96" s="114">
        <v>12670</v>
      </c>
      <c r="H96" s="115">
        <v>11001</v>
      </c>
      <c r="J96" s="107"/>
      <c r="K96" s="107"/>
      <c r="L96" s="107"/>
      <c r="M96" s="107"/>
      <c r="N96" s="107"/>
      <c r="O96" s="107"/>
    </row>
    <row r="97" spans="1:15" hidden="1" x14ac:dyDescent="0.2">
      <c r="A97" s="109">
        <v>1</v>
      </c>
      <c r="B97" s="113" t="s">
        <v>13</v>
      </c>
      <c r="C97" s="114">
        <v>1660</v>
      </c>
      <c r="D97" s="114">
        <v>1027</v>
      </c>
      <c r="E97" s="114">
        <v>758</v>
      </c>
      <c r="F97" s="114">
        <v>629</v>
      </c>
      <c r="G97" s="114">
        <v>527</v>
      </c>
      <c r="H97" s="115">
        <v>413</v>
      </c>
      <c r="J97" s="107"/>
      <c r="K97" s="107"/>
      <c r="L97" s="107"/>
      <c r="M97" s="107"/>
      <c r="N97" s="107"/>
      <c r="O97" s="107"/>
    </row>
    <row r="98" spans="1:15" hidden="1" x14ac:dyDescent="0.2">
      <c r="A98" s="109">
        <v>2</v>
      </c>
      <c r="B98" s="113" t="s">
        <v>1</v>
      </c>
      <c r="C98" s="114">
        <v>2608</v>
      </c>
      <c r="D98" s="114">
        <v>1634</v>
      </c>
      <c r="E98" s="114">
        <v>1204</v>
      </c>
      <c r="F98" s="114">
        <v>999</v>
      </c>
      <c r="G98" s="114">
        <v>841</v>
      </c>
      <c r="H98" s="115">
        <v>656</v>
      </c>
      <c r="J98" s="107"/>
      <c r="K98" s="107"/>
      <c r="L98" s="107"/>
      <c r="M98" s="107"/>
      <c r="N98" s="107"/>
      <c r="O98" s="107"/>
    </row>
    <row r="99" spans="1:15" hidden="1" x14ac:dyDescent="0.2">
      <c r="A99" s="109">
        <v>3</v>
      </c>
      <c r="B99" s="113" t="s">
        <v>14</v>
      </c>
      <c r="C99" s="114">
        <v>3798</v>
      </c>
      <c r="D99" s="114">
        <v>2395</v>
      </c>
      <c r="E99" s="114">
        <v>1766</v>
      </c>
      <c r="F99" s="114">
        <v>1465</v>
      </c>
      <c r="G99" s="114">
        <v>1234</v>
      </c>
      <c r="H99" s="115">
        <v>961</v>
      </c>
      <c r="J99" s="107"/>
      <c r="K99" s="107"/>
      <c r="L99" s="107"/>
      <c r="M99" s="107"/>
      <c r="N99" s="107"/>
      <c r="O99" s="107"/>
    </row>
    <row r="100" spans="1:15" hidden="1" x14ac:dyDescent="0.2">
      <c r="A100" s="109">
        <v>1</v>
      </c>
      <c r="B100" s="113" t="s">
        <v>3</v>
      </c>
      <c r="C100" s="114">
        <v>0</v>
      </c>
      <c r="D100" s="114">
        <v>0</v>
      </c>
      <c r="E100" s="114">
        <v>0</v>
      </c>
      <c r="F100" s="114">
        <v>225</v>
      </c>
      <c r="G100" s="114">
        <v>225</v>
      </c>
      <c r="H100" s="115">
        <v>225</v>
      </c>
      <c r="J100" s="107"/>
      <c r="K100" s="107"/>
      <c r="L100" s="107"/>
      <c r="M100" s="107"/>
      <c r="N100" s="107"/>
      <c r="O100" s="107"/>
    </row>
    <row r="101" spans="1:15" hidden="1" x14ac:dyDescent="0.2">
      <c r="A101" s="109">
        <v>1</v>
      </c>
      <c r="B101" s="113" t="s">
        <v>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5">
        <v>0</v>
      </c>
      <c r="J101" s="107"/>
      <c r="K101" s="107"/>
      <c r="L101" s="107"/>
      <c r="M101" s="107"/>
      <c r="N101" s="107"/>
      <c r="O101" s="107"/>
    </row>
    <row r="102" spans="1:15" hidden="1" x14ac:dyDescent="0.2">
      <c r="A102" s="109"/>
      <c r="B102" s="116"/>
      <c r="C102" s="117"/>
      <c r="D102" s="117"/>
      <c r="E102" s="117"/>
      <c r="F102" s="117"/>
      <c r="G102" s="117"/>
      <c r="H102" s="118"/>
    </row>
    <row r="103" spans="1:15" ht="18" hidden="1" x14ac:dyDescent="0.25">
      <c r="A103" s="330" t="s">
        <v>35</v>
      </c>
      <c r="B103" s="331"/>
      <c r="C103" s="331"/>
      <c r="D103" s="331"/>
      <c r="E103" s="331"/>
      <c r="F103" s="331"/>
      <c r="G103" s="331"/>
      <c r="H103" s="332"/>
    </row>
    <row r="104" spans="1:15" hidden="1" x14ac:dyDescent="0.2">
      <c r="A104" s="333" t="s">
        <v>0</v>
      </c>
      <c r="B104" s="334"/>
      <c r="C104" s="334"/>
      <c r="D104" s="334"/>
      <c r="E104" s="334"/>
      <c r="F104" s="334"/>
      <c r="G104" s="334"/>
      <c r="H104" s="108"/>
    </row>
    <row r="105" spans="1:15" hidden="1" x14ac:dyDescent="0.2">
      <c r="A105" s="109" t="s">
        <v>4</v>
      </c>
      <c r="B105" s="110" t="s">
        <v>4</v>
      </c>
      <c r="C105" s="111" t="s">
        <v>37</v>
      </c>
      <c r="D105" s="111" t="s">
        <v>38</v>
      </c>
      <c r="E105" s="111" t="s">
        <v>39</v>
      </c>
      <c r="F105" s="111" t="s">
        <v>40</v>
      </c>
      <c r="G105" s="111" t="s">
        <v>41</v>
      </c>
      <c r="H105" s="112" t="s">
        <v>42</v>
      </c>
    </row>
    <row r="106" spans="1:15" hidden="1" x14ac:dyDescent="0.2">
      <c r="A106" s="109">
        <v>18</v>
      </c>
      <c r="B106" s="113" t="s">
        <v>152</v>
      </c>
      <c r="C106" s="114">
        <f t="shared" ref="C106:H115" si="1">+C73*$L$2</f>
        <v>2540.8200000000002</v>
      </c>
      <c r="D106" s="114">
        <f t="shared" si="1"/>
        <v>1564.5600000000002</v>
      </c>
      <c r="E106" s="114">
        <f t="shared" si="1"/>
        <v>1032.97</v>
      </c>
      <c r="F106" s="114">
        <f t="shared" si="1"/>
        <v>742.53000000000009</v>
      </c>
      <c r="G106" s="114">
        <f t="shared" si="1"/>
        <v>526.29000000000008</v>
      </c>
      <c r="H106" s="115">
        <f t="shared" si="1"/>
        <v>412.87</v>
      </c>
    </row>
    <row r="107" spans="1:15" hidden="1" x14ac:dyDescent="0.2">
      <c r="A107" s="109">
        <v>25</v>
      </c>
      <c r="B107" s="113" t="s">
        <v>5</v>
      </c>
      <c r="C107" s="114">
        <f t="shared" si="1"/>
        <v>2664.84</v>
      </c>
      <c r="D107" s="114">
        <f t="shared" si="1"/>
        <v>1641.41</v>
      </c>
      <c r="E107" s="114">
        <f t="shared" si="1"/>
        <v>1142.68</v>
      </c>
      <c r="F107" s="114">
        <f t="shared" si="1"/>
        <v>823.09</v>
      </c>
      <c r="G107" s="114">
        <f t="shared" si="1"/>
        <v>584.59</v>
      </c>
      <c r="H107" s="115">
        <f t="shared" si="1"/>
        <v>459.51000000000005</v>
      </c>
    </row>
    <row r="108" spans="1:15" hidden="1" x14ac:dyDescent="0.2">
      <c r="A108" s="109">
        <v>30</v>
      </c>
      <c r="B108" s="113" t="s">
        <v>6</v>
      </c>
      <c r="C108" s="114">
        <f t="shared" si="1"/>
        <v>2756</v>
      </c>
      <c r="D108" s="114">
        <f t="shared" si="1"/>
        <v>1708.19</v>
      </c>
      <c r="E108" s="114">
        <f t="shared" si="1"/>
        <v>1225.3600000000001</v>
      </c>
      <c r="F108" s="114">
        <f t="shared" si="1"/>
        <v>923.79000000000008</v>
      </c>
      <c r="G108" s="114">
        <f t="shared" si="1"/>
        <v>700.66000000000008</v>
      </c>
      <c r="H108" s="115">
        <f t="shared" si="1"/>
        <v>551.73</v>
      </c>
    </row>
    <row r="109" spans="1:15" hidden="1" x14ac:dyDescent="0.2">
      <c r="A109" s="109">
        <v>35</v>
      </c>
      <c r="B109" s="113" t="s">
        <v>7</v>
      </c>
      <c r="C109" s="114">
        <f t="shared" si="1"/>
        <v>3082.48</v>
      </c>
      <c r="D109" s="114">
        <f t="shared" si="1"/>
        <v>1912.7700000000002</v>
      </c>
      <c r="E109" s="114">
        <f t="shared" si="1"/>
        <v>1372.7</v>
      </c>
      <c r="F109" s="114">
        <f t="shared" si="1"/>
        <v>1034.03</v>
      </c>
      <c r="G109" s="114">
        <f t="shared" si="1"/>
        <v>785.99</v>
      </c>
      <c r="H109" s="115">
        <f t="shared" si="1"/>
        <v>619.04000000000008</v>
      </c>
    </row>
    <row r="110" spans="1:15" hidden="1" x14ac:dyDescent="0.2">
      <c r="A110" s="109">
        <v>40</v>
      </c>
      <c r="B110" s="113" t="s">
        <v>8</v>
      </c>
      <c r="C110" s="114">
        <f t="shared" si="1"/>
        <v>3568.4900000000002</v>
      </c>
      <c r="D110" s="114">
        <f t="shared" si="1"/>
        <v>2218.58</v>
      </c>
      <c r="E110" s="114">
        <f t="shared" si="1"/>
        <v>1500.43</v>
      </c>
      <c r="F110" s="114">
        <f t="shared" si="1"/>
        <v>1149.04</v>
      </c>
      <c r="G110" s="114">
        <f t="shared" si="1"/>
        <v>863.90000000000009</v>
      </c>
      <c r="H110" s="115">
        <f t="shared" si="1"/>
        <v>680.52</v>
      </c>
    </row>
    <row r="111" spans="1:15" hidden="1" x14ac:dyDescent="0.2">
      <c r="A111" s="109">
        <v>45</v>
      </c>
      <c r="B111" s="113" t="s">
        <v>9</v>
      </c>
      <c r="C111" s="114">
        <f t="shared" si="1"/>
        <v>3984.01</v>
      </c>
      <c r="D111" s="114">
        <f t="shared" si="1"/>
        <v>2480.4</v>
      </c>
      <c r="E111" s="114">
        <f t="shared" si="1"/>
        <v>1679.0400000000002</v>
      </c>
      <c r="F111" s="114">
        <f t="shared" si="1"/>
        <v>1285.25</v>
      </c>
      <c r="G111" s="114">
        <f t="shared" si="1"/>
        <v>966.72</v>
      </c>
      <c r="H111" s="115">
        <f t="shared" si="1"/>
        <v>761.08</v>
      </c>
    </row>
    <row r="112" spans="1:15" hidden="1" x14ac:dyDescent="0.2">
      <c r="A112" s="109">
        <v>50</v>
      </c>
      <c r="B112" s="113" t="s">
        <v>10</v>
      </c>
      <c r="C112" s="114">
        <f t="shared" si="1"/>
        <v>5179.16</v>
      </c>
      <c r="D112" s="114">
        <f t="shared" si="1"/>
        <v>3175.23</v>
      </c>
      <c r="E112" s="114">
        <f t="shared" si="1"/>
        <v>2203.7400000000002</v>
      </c>
      <c r="F112" s="114">
        <f t="shared" si="1"/>
        <v>1676.92</v>
      </c>
      <c r="G112" s="114">
        <f t="shared" si="1"/>
        <v>1366.3400000000001</v>
      </c>
      <c r="H112" s="115">
        <f t="shared" si="1"/>
        <v>1077.49</v>
      </c>
    </row>
    <row r="113" spans="1:8" hidden="1" x14ac:dyDescent="0.2">
      <c r="A113" s="109">
        <v>55</v>
      </c>
      <c r="B113" s="113" t="s">
        <v>11</v>
      </c>
      <c r="C113" s="114">
        <f t="shared" si="1"/>
        <v>5508.8200000000006</v>
      </c>
      <c r="D113" s="114">
        <f t="shared" si="1"/>
        <v>3378.2200000000003</v>
      </c>
      <c r="E113" s="114">
        <f t="shared" si="1"/>
        <v>2345.7800000000002</v>
      </c>
      <c r="F113" s="114">
        <f t="shared" si="1"/>
        <v>1783.45</v>
      </c>
      <c r="G113" s="114">
        <f t="shared" si="1"/>
        <v>1454.3200000000002</v>
      </c>
      <c r="H113" s="115">
        <f t="shared" si="1"/>
        <v>1146.92</v>
      </c>
    </row>
    <row r="114" spans="1:8" hidden="1" x14ac:dyDescent="0.2">
      <c r="A114" s="109">
        <v>60</v>
      </c>
      <c r="B114" s="113"/>
      <c r="C114" s="114">
        <f t="shared" si="1"/>
        <v>5859.68</v>
      </c>
      <c r="D114" s="114">
        <f t="shared" si="1"/>
        <v>3680.8500000000004</v>
      </c>
      <c r="E114" s="114">
        <f t="shared" si="1"/>
        <v>2558.84</v>
      </c>
      <c r="F114" s="114">
        <f t="shared" si="1"/>
        <v>2051.63</v>
      </c>
      <c r="G114" s="114">
        <f t="shared" si="1"/>
        <v>1752.71</v>
      </c>
      <c r="H114" s="115">
        <f t="shared" si="1"/>
        <v>1424.64</v>
      </c>
    </row>
    <row r="115" spans="1:8" hidden="1" x14ac:dyDescent="0.2">
      <c r="A115" s="109">
        <v>61</v>
      </c>
      <c r="B115" s="113"/>
      <c r="C115" s="114">
        <f t="shared" si="1"/>
        <v>6294.2800000000007</v>
      </c>
      <c r="D115" s="114">
        <f t="shared" si="1"/>
        <v>3955.3900000000003</v>
      </c>
      <c r="E115" s="114">
        <f t="shared" si="1"/>
        <v>2749.11</v>
      </c>
      <c r="F115" s="114">
        <f t="shared" si="1"/>
        <v>2204.27</v>
      </c>
      <c r="G115" s="114">
        <f t="shared" si="1"/>
        <v>1884.15</v>
      </c>
      <c r="H115" s="115">
        <f t="shared" si="1"/>
        <v>1529.5800000000002</v>
      </c>
    </row>
    <row r="116" spans="1:8" hidden="1" x14ac:dyDescent="0.2">
      <c r="A116" s="109">
        <v>62</v>
      </c>
      <c r="B116" s="113"/>
      <c r="C116" s="114">
        <f t="shared" ref="C116:H125" si="2">+C83*$L$2</f>
        <v>6886.8200000000006</v>
      </c>
      <c r="D116" s="114">
        <f t="shared" si="2"/>
        <v>4331.16</v>
      </c>
      <c r="E116" s="114">
        <f t="shared" si="2"/>
        <v>3012.52</v>
      </c>
      <c r="F116" s="114">
        <f t="shared" si="2"/>
        <v>2415.21</v>
      </c>
      <c r="G116" s="114">
        <f t="shared" si="2"/>
        <v>2062.7600000000002</v>
      </c>
      <c r="H116" s="115">
        <f t="shared" si="2"/>
        <v>1675.8600000000001</v>
      </c>
    </row>
    <row r="117" spans="1:8" hidden="1" x14ac:dyDescent="0.2">
      <c r="A117" s="109">
        <v>63</v>
      </c>
      <c r="B117" s="113"/>
      <c r="C117" s="114">
        <f t="shared" si="2"/>
        <v>7320.3600000000006</v>
      </c>
      <c r="D117" s="114">
        <f t="shared" si="2"/>
        <v>4604.1100000000006</v>
      </c>
      <c r="E117" s="114">
        <f t="shared" si="2"/>
        <v>3202.26</v>
      </c>
      <c r="F117" s="114">
        <f t="shared" si="2"/>
        <v>2567.3200000000002</v>
      </c>
      <c r="G117" s="114">
        <f t="shared" si="2"/>
        <v>2193.67</v>
      </c>
      <c r="H117" s="115">
        <f t="shared" si="2"/>
        <v>1781.8600000000001</v>
      </c>
    </row>
    <row r="118" spans="1:8" hidden="1" x14ac:dyDescent="0.2">
      <c r="A118" s="109">
        <v>64</v>
      </c>
      <c r="B118" s="113"/>
      <c r="C118" s="114">
        <f t="shared" si="2"/>
        <v>7916.0800000000008</v>
      </c>
      <c r="D118" s="114">
        <f t="shared" si="2"/>
        <v>4979.88</v>
      </c>
      <c r="E118" s="114">
        <f t="shared" si="2"/>
        <v>3465.67</v>
      </c>
      <c r="F118" s="114">
        <f t="shared" si="2"/>
        <v>2778.26</v>
      </c>
      <c r="G118" s="114">
        <f t="shared" si="2"/>
        <v>2371.75</v>
      </c>
      <c r="H118" s="115">
        <f t="shared" si="2"/>
        <v>1928.67</v>
      </c>
    </row>
    <row r="119" spans="1:8" hidden="1" x14ac:dyDescent="0.2">
      <c r="A119" s="109">
        <v>65</v>
      </c>
      <c r="B119" s="113"/>
      <c r="C119" s="114">
        <f t="shared" si="2"/>
        <v>8295.0300000000007</v>
      </c>
      <c r="D119" s="114">
        <f t="shared" si="2"/>
        <v>6512.64</v>
      </c>
      <c r="E119" s="114">
        <f t="shared" si="2"/>
        <v>4520.9000000000005</v>
      </c>
      <c r="F119" s="114">
        <f t="shared" si="2"/>
        <v>3513.3700000000003</v>
      </c>
      <c r="G119" s="114">
        <f t="shared" si="2"/>
        <v>3166.2200000000003</v>
      </c>
      <c r="H119" s="115">
        <f t="shared" si="2"/>
        <v>2723.67</v>
      </c>
    </row>
    <row r="120" spans="1:8" hidden="1" x14ac:dyDescent="0.2">
      <c r="A120" s="109">
        <v>66</v>
      </c>
      <c r="B120" s="113"/>
      <c r="C120" s="114">
        <f t="shared" si="2"/>
        <v>8672.3900000000012</v>
      </c>
      <c r="D120" s="114">
        <f t="shared" si="2"/>
        <v>7565.75</v>
      </c>
      <c r="E120" s="114">
        <f t="shared" si="2"/>
        <v>5252.83</v>
      </c>
      <c r="F120" s="114">
        <f t="shared" si="2"/>
        <v>4082.59</v>
      </c>
      <c r="G120" s="114">
        <f t="shared" si="2"/>
        <v>3679.26</v>
      </c>
      <c r="H120" s="115">
        <f t="shared" si="2"/>
        <v>3163.04</v>
      </c>
    </row>
    <row r="121" spans="1:8" hidden="1" x14ac:dyDescent="0.2">
      <c r="A121" s="109">
        <v>67</v>
      </c>
      <c r="B121" s="113"/>
      <c r="C121" s="114">
        <f t="shared" si="2"/>
        <v>9469.51</v>
      </c>
      <c r="D121" s="114">
        <f t="shared" si="2"/>
        <v>8265.35</v>
      </c>
      <c r="E121" s="114">
        <f t="shared" si="2"/>
        <v>5737.7800000000007</v>
      </c>
      <c r="F121" s="114">
        <f t="shared" si="2"/>
        <v>4460.4800000000005</v>
      </c>
      <c r="G121" s="114">
        <f t="shared" si="2"/>
        <v>4017.9300000000003</v>
      </c>
      <c r="H121" s="115">
        <f t="shared" si="2"/>
        <v>3456.13</v>
      </c>
    </row>
    <row r="122" spans="1:8" hidden="1" x14ac:dyDescent="0.2">
      <c r="A122" s="109">
        <v>68</v>
      </c>
      <c r="B122" s="113"/>
      <c r="C122" s="114">
        <f t="shared" si="2"/>
        <v>10483.4</v>
      </c>
      <c r="D122" s="114">
        <f t="shared" si="2"/>
        <v>9152.0400000000009</v>
      </c>
      <c r="E122" s="114">
        <f t="shared" si="2"/>
        <v>6352.58</v>
      </c>
      <c r="F122" s="114">
        <f t="shared" si="2"/>
        <v>4939.6000000000004</v>
      </c>
      <c r="G122" s="114">
        <f t="shared" si="2"/>
        <v>4450.9400000000005</v>
      </c>
      <c r="H122" s="115">
        <f t="shared" si="2"/>
        <v>3826.6000000000004</v>
      </c>
    </row>
    <row r="123" spans="1:8" hidden="1" x14ac:dyDescent="0.2">
      <c r="A123" s="109">
        <v>69</v>
      </c>
      <c r="B123" s="113"/>
      <c r="C123" s="114">
        <f t="shared" si="2"/>
        <v>11531.74</v>
      </c>
      <c r="D123" s="114">
        <f t="shared" si="2"/>
        <v>10069.470000000001</v>
      </c>
      <c r="E123" s="114">
        <f t="shared" si="2"/>
        <v>6990.7000000000007</v>
      </c>
      <c r="F123" s="114">
        <f t="shared" si="2"/>
        <v>5434.62</v>
      </c>
      <c r="G123" s="114">
        <f t="shared" si="2"/>
        <v>4897.2</v>
      </c>
      <c r="H123" s="115">
        <f t="shared" si="2"/>
        <v>4210.8500000000004</v>
      </c>
    </row>
    <row r="124" spans="1:8" hidden="1" x14ac:dyDescent="0.2">
      <c r="A124" s="109">
        <v>70</v>
      </c>
      <c r="B124" s="113"/>
      <c r="C124" s="114">
        <f t="shared" si="2"/>
        <v>13646.44</v>
      </c>
      <c r="D124" s="114">
        <f t="shared" si="2"/>
        <v>12393.52</v>
      </c>
      <c r="E124" s="114">
        <f t="shared" si="2"/>
        <v>8512.33</v>
      </c>
      <c r="F124" s="114">
        <f t="shared" si="2"/>
        <v>6397.63</v>
      </c>
      <c r="G124" s="114">
        <f t="shared" si="2"/>
        <v>5707.04</v>
      </c>
      <c r="H124" s="115">
        <f t="shared" si="2"/>
        <v>4952.8500000000004</v>
      </c>
    </row>
    <row r="125" spans="1:8" hidden="1" x14ac:dyDescent="0.2">
      <c r="A125" s="109">
        <v>71</v>
      </c>
      <c r="B125" s="113"/>
      <c r="C125" s="114">
        <f t="shared" si="2"/>
        <v>14182.27</v>
      </c>
      <c r="D125" s="114">
        <f t="shared" si="2"/>
        <v>12880.59</v>
      </c>
      <c r="E125" s="114">
        <f t="shared" si="2"/>
        <v>8846.23</v>
      </c>
      <c r="F125" s="114">
        <f t="shared" si="2"/>
        <v>6648.85</v>
      </c>
      <c r="G125" s="114">
        <f t="shared" si="2"/>
        <v>5930.7000000000007</v>
      </c>
      <c r="H125" s="115">
        <f t="shared" si="2"/>
        <v>5149.4800000000005</v>
      </c>
    </row>
    <row r="126" spans="1:8" hidden="1" x14ac:dyDescent="0.2">
      <c r="A126" s="109">
        <v>72</v>
      </c>
      <c r="B126" s="113"/>
      <c r="C126" s="114">
        <f t="shared" ref="C126:H134" si="3">+C93*$L$2</f>
        <v>14581.36</v>
      </c>
      <c r="D126" s="114">
        <f t="shared" si="3"/>
        <v>13244.7</v>
      </c>
      <c r="E126" s="114">
        <f t="shared" si="3"/>
        <v>9096.92</v>
      </c>
      <c r="F126" s="114">
        <f t="shared" si="3"/>
        <v>6837</v>
      </c>
      <c r="G126" s="114">
        <f t="shared" si="3"/>
        <v>6098.71</v>
      </c>
      <c r="H126" s="115">
        <f t="shared" si="3"/>
        <v>5293.1100000000006</v>
      </c>
    </row>
    <row r="127" spans="1:8" hidden="1" x14ac:dyDescent="0.2">
      <c r="A127" s="109">
        <v>73</v>
      </c>
      <c r="B127" s="113"/>
      <c r="C127" s="114">
        <f t="shared" si="3"/>
        <v>15118.25</v>
      </c>
      <c r="D127" s="114">
        <f t="shared" si="3"/>
        <v>13732.83</v>
      </c>
      <c r="E127" s="114">
        <f t="shared" si="3"/>
        <v>9430.2900000000009</v>
      </c>
      <c r="F127" s="114">
        <f t="shared" si="3"/>
        <v>7088.75</v>
      </c>
      <c r="G127" s="114">
        <f t="shared" si="3"/>
        <v>6323.43</v>
      </c>
      <c r="H127" s="115">
        <f t="shared" si="3"/>
        <v>5488.68</v>
      </c>
    </row>
    <row r="128" spans="1:8" hidden="1" x14ac:dyDescent="0.2">
      <c r="A128" s="109">
        <v>74</v>
      </c>
      <c r="B128" s="113"/>
      <c r="C128" s="114">
        <f t="shared" si="3"/>
        <v>15383.78</v>
      </c>
      <c r="D128" s="114">
        <f t="shared" si="3"/>
        <v>13975.04</v>
      </c>
      <c r="E128" s="114">
        <f t="shared" si="3"/>
        <v>9598.83</v>
      </c>
      <c r="F128" s="114">
        <f t="shared" si="3"/>
        <v>7212.77</v>
      </c>
      <c r="G128" s="114">
        <f t="shared" si="3"/>
        <v>6435.79</v>
      </c>
      <c r="H128" s="115">
        <f t="shared" si="3"/>
        <v>5586.2000000000007</v>
      </c>
    </row>
    <row r="129" spans="1:15" hidden="1" x14ac:dyDescent="0.2">
      <c r="A129" s="109">
        <v>75</v>
      </c>
      <c r="B129" s="113" t="s">
        <v>12</v>
      </c>
      <c r="C129" s="114">
        <f t="shared" si="3"/>
        <v>16052.11</v>
      </c>
      <c r="D129" s="114">
        <f t="shared" si="3"/>
        <v>14582.95</v>
      </c>
      <c r="E129" s="114">
        <f t="shared" si="3"/>
        <v>10015.94</v>
      </c>
      <c r="F129" s="114">
        <f t="shared" si="3"/>
        <v>7528.1200000000008</v>
      </c>
      <c r="G129" s="114">
        <f t="shared" si="3"/>
        <v>6715.1</v>
      </c>
      <c r="H129" s="115">
        <f t="shared" si="3"/>
        <v>5830.5300000000007</v>
      </c>
    </row>
    <row r="130" spans="1:15" hidden="1" x14ac:dyDescent="0.2">
      <c r="A130" s="109">
        <v>1</v>
      </c>
      <c r="B130" s="113" t="s">
        <v>13</v>
      </c>
      <c r="C130" s="114">
        <f t="shared" si="3"/>
        <v>879.80000000000007</v>
      </c>
      <c r="D130" s="114">
        <f t="shared" si="3"/>
        <v>544.31000000000006</v>
      </c>
      <c r="E130" s="114">
        <f t="shared" si="3"/>
        <v>401.74</v>
      </c>
      <c r="F130" s="114">
        <f t="shared" si="3"/>
        <v>333.37</v>
      </c>
      <c r="G130" s="114">
        <f t="shared" si="3"/>
        <v>279.31</v>
      </c>
      <c r="H130" s="115">
        <f t="shared" si="3"/>
        <v>218.89000000000001</v>
      </c>
    </row>
    <row r="131" spans="1:15" hidden="1" x14ac:dyDescent="0.2">
      <c r="A131" s="109">
        <v>2</v>
      </c>
      <c r="B131" s="113" t="s">
        <v>1</v>
      </c>
      <c r="C131" s="114">
        <f t="shared" si="3"/>
        <v>1382.24</v>
      </c>
      <c r="D131" s="114">
        <f t="shared" si="3"/>
        <v>866.0200000000001</v>
      </c>
      <c r="E131" s="114">
        <f t="shared" si="3"/>
        <v>638.12</v>
      </c>
      <c r="F131" s="114">
        <f t="shared" si="3"/>
        <v>529.47</v>
      </c>
      <c r="G131" s="114">
        <f t="shared" si="3"/>
        <v>445.73</v>
      </c>
      <c r="H131" s="115">
        <f t="shared" si="3"/>
        <v>347.68</v>
      </c>
    </row>
    <row r="132" spans="1:15" hidden="1" x14ac:dyDescent="0.2">
      <c r="A132" s="109">
        <v>3</v>
      </c>
      <c r="B132" s="113" t="s">
        <v>14</v>
      </c>
      <c r="C132" s="114">
        <f t="shared" si="3"/>
        <v>2012.94</v>
      </c>
      <c r="D132" s="114">
        <f t="shared" si="3"/>
        <v>1269.3500000000001</v>
      </c>
      <c r="E132" s="114">
        <f t="shared" si="3"/>
        <v>935.98</v>
      </c>
      <c r="F132" s="114">
        <f t="shared" si="3"/>
        <v>776.45</v>
      </c>
      <c r="G132" s="114">
        <f t="shared" si="3"/>
        <v>654.02</v>
      </c>
      <c r="H132" s="115">
        <f t="shared" si="3"/>
        <v>509.33000000000004</v>
      </c>
    </row>
    <row r="133" spans="1:15" hidden="1" x14ac:dyDescent="0.2">
      <c r="A133" s="109">
        <v>1</v>
      </c>
      <c r="B133" s="113" t="s">
        <v>3</v>
      </c>
      <c r="C133" s="114">
        <f t="shared" si="3"/>
        <v>0</v>
      </c>
      <c r="D133" s="114">
        <f t="shared" si="3"/>
        <v>0</v>
      </c>
      <c r="E133" s="114">
        <f t="shared" si="3"/>
        <v>0</v>
      </c>
      <c r="F133" s="114">
        <f t="shared" si="3"/>
        <v>119.25</v>
      </c>
      <c r="G133" s="114">
        <f t="shared" si="3"/>
        <v>119.25</v>
      </c>
      <c r="H133" s="115">
        <f t="shared" si="3"/>
        <v>119.25</v>
      </c>
    </row>
    <row r="134" spans="1:15" ht="13.5" hidden="1" thickBot="1" x14ac:dyDescent="0.25">
      <c r="A134" s="119">
        <v>1</v>
      </c>
      <c r="B134" s="120" t="s">
        <v>2</v>
      </c>
      <c r="C134" s="121">
        <f t="shared" si="3"/>
        <v>0</v>
      </c>
      <c r="D134" s="121">
        <f t="shared" si="3"/>
        <v>0</v>
      </c>
      <c r="E134" s="121">
        <f t="shared" si="3"/>
        <v>0</v>
      </c>
      <c r="F134" s="121">
        <f t="shared" si="3"/>
        <v>0</v>
      </c>
      <c r="G134" s="121">
        <f t="shared" si="3"/>
        <v>0</v>
      </c>
      <c r="H134" s="122">
        <f t="shared" si="3"/>
        <v>0</v>
      </c>
    </row>
    <row r="135" spans="1:15" ht="13.5" hidden="1" thickBot="1" x14ac:dyDescent="0.25"/>
    <row r="136" spans="1:15" ht="18" hidden="1" x14ac:dyDescent="0.25">
      <c r="A136" s="322" t="s">
        <v>248</v>
      </c>
      <c r="B136" s="323"/>
      <c r="C136" s="323"/>
      <c r="D136" s="323"/>
      <c r="E136" s="323"/>
      <c r="F136" s="323"/>
      <c r="G136" s="323"/>
      <c r="H136" s="324"/>
    </row>
    <row r="137" spans="1:15" ht="18" hidden="1" x14ac:dyDescent="0.25">
      <c r="A137" s="325" t="s">
        <v>28</v>
      </c>
      <c r="B137" s="326"/>
      <c r="C137" s="326"/>
      <c r="D137" s="326"/>
      <c r="E137" s="326"/>
      <c r="F137" s="326"/>
      <c r="G137" s="326"/>
      <c r="H137" s="327"/>
    </row>
    <row r="138" spans="1:15" hidden="1" x14ac:dyDescent="0.2">
      <c r="A138" s="328" t="s">
        <v>0</v>
      </c>
      <c r="B138" s="329"/>
      <c r="C138" s="329"/>
      <c r="D138" s="329"/>
      <c r="E138" s="329"/>
      <c r="F138" s="329"/>
      <c r="G138" s="329"/>
      <c r="H138" s="90"/>
    </row>
    <row r="139" spans="1:15" hidden="1" x14ac:dyDescent="0.2">
      <c r="A139" s="91" t="s">
        <v>4</v>
      </c>
      <c r="B139" s="92" t="s">
        <v>4</v>
      </c>
      <c r="C139" s="155" t="s">
        <v>43</v>
      </c>
      <c r="D139" s="154" t="s">
        <v>44</v>
      </c>
      <c r="E139" s="154" t="s">
        <v>45</v>
      </c>
      <c r="F139" s="154" t="s">
        <v>46</v>
      </c>
      <c r="G139" s="154" t="s">
        <v>47</v>
      </c>
      <c r="H139" s="102" t="s">
        <v>48</v>
      </c>
    </row>
    <row r="140" spans="1:15" ht="15" hidden="1" x14ac:dyDescent="0.2">
      <c r="A140" s="91">
        <v>18</v>
      </c>
      <c r="B140" s="93" t="s">
        <v>152</v>
      </c>
      <c r="C140" s="160">
        <v>2657</v>
      </c>
      <c r="D140" s="159">
        <v>2242</v>
      </c>
      <c r="E140" s="159">
        <v>1755</v>
      </c>
      <c r="F140" s="159">
        <v>1341</v>
      </c>
      <c r="G140" s="159">
        <v>1170</v>
      </c>
      <c r="H140" s="161">
        <v>877</v>
      </c>
      <c r="J140" s="107"/>
      <c r="K140" s="107"/>
      <c r="L140" s="107"/>
      <c r="M140" s="107"/>
      <c r="N140" s="107"/>
      <c r="O140" s="107"/>
    </row>
    <row r="141" spans="1:15" ht="15" hidden="1" x14ac:dyDescent="0.2">
      <c r="A141" s="91">
        <v>25</v>
      </c>
      <c r="B141" s="93" t="s">
        <v>5</v>
      </c>
      <c r="C141" s="160">
        <v>2949</v>
      </c>
      <c r="D141" s="159">
        <v>2462</v>
      </c>
      <c r="E141" s="159">
        <v>1974</v>
      </c>
      <c r="F141" s="159">
        <v>1511</v>
      </c>
      <c r="G141" s="159">
        <v>1292</v>
      </c>
      <c r="H141" s="161">
        <v>975</v>
      </c>
      <c r="J141" s="107"/>
      <c r="K141" s="107"/>
      <c r="L141" s="107"/>
      <c r="M141" s="107"/>
      <c r="N141" s="107"/>
      <c r="O141" s="107"/>
    </row>
    <row r="142" spans="1:15" ht="15" hidden="1" x14ac:dyDescent="0.2">
      <c r="A142" s="91">
        <v>30</v>
      </c>
      <c r="B142" s="93" t="s">
        <v>6</v>
      </c>
      <c r="C142" s="160">
        <v>3388</v>
      </c>
      <c r="D142" s="159">
        <v>2827</v>
      </c>
      <c r="E142" s="159">
        <v>2315</v>
      </c>
      <c r="F142" s="159">
        <v>1755</v>
      </c>
      <c r="G142" s="159">
        <v>1511</v>
      </c>
      <c r="H142" s="161">
        <v>1146</v>
      </c>
      <c r="J142" s="107"/>
      <c r="K142" s="107"/>
      <c r="L142" s="107"/>
      <c r="M142" s="107"/>
      <c r="N142" s="107"/>
      <c r="O142" s="107"/>
    </row>
    <row r="143" spans="1:15" ht="15" hidden="1" x14ac:dyDescent="0.2">
      <c r="A143" s="91">
        <v>35</v>
      </c>
      <c r="B143" s="93" t="s">
        <v>7</v>
      </c>
      <c r="C143" s="160">
        <v>3753</v>
      </c>
      <c r="D143" s="159">
        <v>3120</v>
      </c>
      <c r="E143" s="159">
        <v>2608</v>
      </c>
      <c r="F143" s="159">
        <v>1950</v>
      </c>
      <c r="G143" s="159">
        <v>1682</v>
      </c>
      <c r="H143" s="161">
        <v>1267</v>
      </c>
      <c r="J143" s="107"/>
      <c r="K143" s="107"/>
      <c r="L143" s="107"/>
      <c r="M143" s="107"/>
      <c r="N143" s="107"/>
      <c r="O143" s="107"/>
    </row>
    <row r="144" spans="1:15" ht="15" hidden="1" x14ac:dyDescent="0.2">
      <c r="A144" s="91">
        <v>40</v>
      </c>
      <c r="B144" s="93" t="s">
        <v>8</v>
      </c>
      <c r="C144" s="160">
        <v>4241</v>
      </c>
      <c r="D144" s="159">
        <v>3485</v>
      </c>
      <c r="E144" s="159">
        <v>2974</v>
      </c>
      <c r="F144" s="159">
        <v>2194</v>
      </c>
      <c r="G144" s="159">
        <v>1901</v>
      </c>
      <c r="H144" s="161">
        <v>1438</v>
      </c>
      <c r="J144" s="107"/>
      <c r="K144" s="107"/>
      <c r="L144" s="107"/>
      <c r="M144" s="107"/>
      <c r="N144" s="107"/>
      <c r="O144" s="107"/>
    </row>
    <row r="145" spans="1:15" ht="15" hidden="1" x14ac:dyDescent="0.2">
      <c r="A145" s="91">
        <v>45</v>
      </c>
      <c r="B145" s="93" t="s">
        <v>9</v>
      </c>
      <c r="C145" s="160">
        <v>4923</v>
      </c>
      <c r="D145" s="159">
        <v>4022</v>
      </c>
      <c r="E145" s="159">
        <v>3485</v>
      </c>
      <c r="F145" s="159">
        <v>2559</v>
      </c>
      <c r="G145" s="159">
        <v>2218</v>
      </c>
      <c r="H145" s="161">
        <v>1657</v>
      </c>
      <c r="J145" s="107"/>
      <c r="K145" s="107"/>
      <c r="L145" s="107"/>
      <c r="M145" s="107"/>
      <c r="N145" s="107"/>
      <c r="O145" s="107"/>
    </row>
    <row r="146" spans="1:15" ht="15" hidden="1" x14ac:dyDescent="0.2">
      <c r="A146" s="91">
        <v>50</v>
      </c>
      <c r="B146" s="93" t="s">
        <v>10</v>
      </c>
      <c r="C146" s="160">
        <v>5386</v>
      </c>
      <c r="D146" s="159">
        <v>4387</v>
      </c>
      <c r="E146" s="159">
        <v>3827</v>
      </c>
      <c r="F146" s="159">
        <v>2803</v>
      </c>
      <c r="G146" s="159">
        <v>2413</v>
      </c>
      <c r="H146" s="161">
        <v>1828</v>
      </c>
      <c r="J146" s="107"/>
      <c r="K146" s="107"/>
      <c r="L146" s="107"/>
      <c r="M146" s="107"/>
      <c r="N146" s="107"/>
      <c r="O146" s="107"/>
    </row>
    <row r="147" spans="1:15" ht="15" hidden="1" x14ac:dyDescent="0.2">
      <c r="A147" s="91">
        <v>55</v>
      </c>
      <c r="B147" s="93" t="s">
        <v>11</v>
      </c>
      <c r="C147" s="160">
        <v>6337</v>
      </c>
      <c r="D147" s="159">
        <v>5167</v>
      </c>
      <c r="E147" s="159">
        <v>4582</v>
      </c>
      <c r="F147" s="159">
        <v>3315</v>
      </c>
      <c r="G147" s="159">
        <v>2876</v>
      </c>
      <c r="H147" s="161">
        <v>2145</v>
      </c>
      <c r="J147" s="107"/>
      <c r="K147" s="107"/>
      <c r="L147" s="107"/>
      <c r="M147" s="107"/>
      <c r="N147" s="107"/>
      <c r="O147" s="107"/>
    </row>
    <row r="148" spans="1:15" ht="15" hidden="1" x14ac:dyDescent="0.2">
      <c r="A148" s="91">
        <v>60</v>
      </c>
      <c r="B148" s="93"/>
      <c r="C148" s="160">
        <v>6703</v>
      </c>
      <c r="D148" s="159">
        <v>5411</v>
      </c>
      <c r="E148" s="159">
        <v>4899</v>
      </c>
      <c r="F148" s="159">
        <v>3510</v>
      </c>
      <c r="G148" s="159">
        <v>3047</v>
      </c>
      <c r="H148" s="161">
        <v>2267</v>
      </c>
      <c r="J148" s="107"/>
      <c r="K148" s="107"/>
      <c r="L148" s="107"/>
      <c r="M148" s="107"/>
      <c r="N148" s="107"/>
      <c r="O148" s="107"/>
    </row>
    <row r="149" spans="1:15" ht="15" hidden="1" x14ac:dyDescent="0.2">
      <c r="A149" s="91">
        <v>61</v>
      </c>
      <c r="B149" s="93"/>
      <c r="C149" s="160">
        <v>7531</v>
      </c>
      <c r="D149" s="159">
        <v>6093</v>
      </c>
      <c r="E149" s="159">
        <v>5508</v>
      </c>
      <c r="F149" s="159">
        <v>3973</v>
      </c>
      <c r="G149" s="159">
        <v>3412</v>
      </c>
      <c r="H149" s="161">
        <v>2559</v>
      </c>
      <c r="J149" s="107"/>
      <c r="K149" s="107"/>
      <c r="L149" s="107"/>
      <c r="M149" s="107"/>
      <c r="N149" s="107"/>
      <c r="O149" s="107"/>
    </row>
    <row r="150" spans="1:15" ht="15" hidden="1" x14ac:dyDescent="0.2">
      <c r="A150" s="91">
        <v>62</v>
      </c>
      <c r="B150" s="93"/>
      <c r="C150" s="160">
        <v>8384</v>
      </c>
      <c r="D150" s="159">
        <v>6776</v>
      </c>
      <c r="E150" s="159">
        <v>6118</v>
      </c>
      <c r="F150" s="159">
        <v>4412</v>
      </c>
      <c r="G150" s="159">
        <v>3802</v>
      </c>
      <c r="H150" s="161">
        <v>2852</v>
      </c>
      <c r="J150" s="107"/>
      <c r="K150" s="107"/>
      <c r="L150" s="107"/>
      <c r="M150" s="107"/>
      <c r="N150" s="107"/>
      <c r="O150" s="107"/>
    </row>
    <row r="151" spans="1:15" ht="15" hidden="1" x14ac:dyDescent="0.2">
      <c r="A151" s="91">
        <v>63</v>
      </c>
      <c r="B151" s="93"/>
      <c r="C151" s="160">
        <v>9213</v>
      </c>
      <c r="D151" s="159">
        <v>7434</v>
      </c>
      <c r="E151" s="159">
        <v>6727</v>
      </c>
      <c r="F151" s="159">
        <v>4850</v>
      </c>
      <c r="G151" s="159">
        <v>4192</v>
      </c>
      <c r="H151" s="161">
        <v>3144</v>
      </c>
      <c r="J151" s="107"/>
      <c r="K151" s="107"/>
      <c r="L151" s="107"/>
      <c r="M151" s="107"/>
      <c r="N151" s="107"/>
      <c r="O151" s="107"/>
    </row>
    <row r="152" spans="1:15" ht="15" hidden="1" x14ac:dyDescent="0.2">
      <c r="A152" s="91">
        <v>64</v>
      </c>
      <c r="B152" s="93"/>
      <c r="C152" s="160">
        <v>10066</v>
      </c>
      <c r="D152" s="159">
        <v>8116</v>
      </c>
      <c r="E152" s="159">
        <v>7361</v>
      </c>
      <c r="F152" s="159">
        <v>5289</v>
      </c>
      <c r="G152" s="159">
        <v>4582</v>
      </c>
      <c r="H152" s="161">
        <v>3437</v>
      </c>
      <c r="J152" s="107"/>
      <c r="K152" s="107"/>
      <c r="L152" s="107"/>
      <c r="M152" s="107"/>
      <c r="N152" s="107"/>
      <c r="O152" s="107"/>
    </row>
    <row r="153" spans="1:15" ht="15" hidden="1" x14ac:dyDescent="0.2">
      <c r="A153" s="91">
        <v>65</v>
      </c>
      <c r="B153" s="93"/>
      <c r="C153" s="160">
        <v>10091</v>
      </c>
      <c r="D153" s="159">
        <v>8141</v>
      </c>
      <c r="E153" s="159">
        <v>7409</v>
      </c>
      <c r="F153" s="159">
        <v>5338</v>
      </c>
      <c r="G153" s="159">
        <v>4607</v>
      </c>
      <c r="H153" s="161">
        <v>3437</v>
      </c>
      <c r="J153" s="107"/>
      <c r="K153" s="107"/>
      <c r="L153" s="107"/>
      <c r="M153" s="107"/>
      <c r="N153" s="107"/>
      <c r="O153" s="107"/>
    </row>
    <row r="154" spans="1:15" ht="15" hidden="1" x14ac:dyDescent="0.2">
      <c r="A154" s="91">
        <v>66</v>
      </c>
      <c r="B154" s="93"/>
      <c r="C154" s="160">
        <v>10139</v>
      </c>
      <c r="D154" s="159">
        <v>8141</v>
      </c>
      <c r="E154" s="159">
        <v>7483</v>
      </c>
      <c r="F154" s="159">
        <v>5362</v>
      </c>
      <c r="G154" s="159">
        <v>4631</v>
      </c>
      <c r="H154" s="161">
        <v>3437</v>
      </c>
      <c r="J154" s="107"/>
      <c r="K154" s="107"/>
      <c r="L154" s="107"/>
      <c r="M154" s="107"/>
      <c r="N154" s="107"/>
      <c r="O154" s="107"/>
    </row>
    <row r="155" spans="1:15" ht="15" hidden="1" x14ac:dyDescent="0.2">
      <c r="A155" s="91">
        <v>67</v>
      </c>
      <c r="B155" s="93"/>
      <c r="C155" s="160">
        <v>11260</v>
      </c>
      <c r="D155" s="159">
        <v>9042</v>
      </c>
      <c r="E155" s="159">
        <v>8336</v>
      </c>
      <c r="F155" s="159">
        <v>5947</v>
      </c>
      <c r="G155" s="159">
        <v>5143</v>
      </c>
      <c r="H155" s="161">
        <v>3827</v>
      </c>
      <c r="J155" s="107"/>
      <c r="K155" s="107"/>
      <c r="L155" s="107"/>
      <c r="M155" s="107"/>
      <c r="N155" s="107"/>
      <c r="O155" s="107"/>
    </row>
    <row r="156" spans="1:15" ht="15" hidden="1" x14ac:dyDescent="0.2">
      <c r="A156" s="91">
        <v>68</v>
      </c>
      <c r="B156" s="93"/>
      <c r="C156" s="160">
        <v>12382</v>
      </c>
      <c r="D156" s="159">
        <v>9944</v>
      </c>
      <c r="E156" s="159">
        <v>9164</v>
      </c>
      <c r="F156" s="159">
        <v>6556</v>
      </c>
      <c r="G156" s="159">
        <v>5655</v>
      </c>
      <c r="H156" s="161">
        <v>4217</v>
      </c>
      <c r="J156" s="107"/>
      <c r="K156" s="107"/>
      <c r="L156" s="107"/>
      <c r="M156" s="107"/>
      <c r="N156" s="107"/>
      <c r="O156" s="107"/>
    </row>
    <row r="157" spans="1:15" ht="15" hidden="1" x14ac:dyDescent="0.2">
      <c r="A157" s="91">
        <v>69</v>
      </c>
      <c r="B157" s="93"/>
      <c r="C157" s="160">
        <v>12967</v>
      </c>
      <c r="D157" s="159">
        <v>10407</v>
      </c>
      <c r="E157" s="159">
        <v>9579</v>
      </c>
      <c r="F157" s="159">
        <v>6849</v>
      </c>
      <c r="G157" s="159">
        <v>5923</v>
      </c>
      <c r="H157" s="161">
        <v>4412</v>
      </c>
      <c r="J157" s="107"/>
      <c r="K157" s="107"/>
      <c r="L157" s="107"/>
      <c r="M157" s="107"/>
      <c r="N157" s="107"/>
      <c r="O157" s="107"/>
    </row>
    <row r="158" spans="1:15" ht="15" hidden="1" x14ac:dyDescent="0.2">
      <c r="A158" s="91">
        <v>70</v>
      </c>
      <c r="B158" s="93"/>
      <c r="C158" s="160">
        <v>13040</v>
      </c>
      <c r="D158" s="159">
        <v>10432</v>
      </c>
      <c r="E158" s="159">
        <v>9725</v>
      </c>
      <c r="F158" s="159">
        <v>6922</v>
      </c>
      <c r="G158" s="159">
        <v>5971</v>
      </c>
      <c r="H158" s="161">
        <v>4436</v>
      </c>
      <c r="J158" s="107"/>
      <c r="K158" s="107"/>
      <c r="L158" s="107"/>
      <c r="M158" s="107"/>
      <c r="N158" s="107"/>
      <c r="O158" s="107"/>
    </row>
    <row r="159" spans="1:15" ht="15" hidden="1" x14ac:dyDescent="0.2">
      <c r="A159" s="91">
        <v>71</v>
      </c>
      <c r="B159" s="93"/>
      <c r="C159" s="160">
        <v>14697</v>
      </c>
      <c r="D159" s="159">
        <v>11724</v>
      </c>
      <c r="E159" s="159">
        <v>10968</v>
      </c>
      <c r="F159" s="159">
        <v>7799</v>
      </c>
      <c r="G159" s="159">
        <v>6727</v>
      </c>
      <c r="H159" s="161">
        <v>4997</v>
      </c>
      <c r="J159" s="107"/>
      <c r="K159" s="107"/>
      <c r="L159" s="107"/>
      <c r="M159" s="107"/>
      <c r="N159" s="107"/>
      <c r="O159" s="107"/>
    </row>
    <row r="160" spans="1:15" ht="15" hidden="1" x14ac:dyDescent="0.2">
      <c r="A160" s="91">
        <v>72</v>
      </c>
      <c r="B160" s="93"/>
      <c r="C160" s="160">
        <v>16330</v>
      </c>
      <c r="D160" s="159">
        <v>13040</v>
      </c>
      <c r="E160" s="159">
        <v>12187</v>
      </c>
      <c r="F160" s="159">
        <v>8652</v>
      </c>
      <c r="G160" s="159">
        <v>7458</v>
      </c>
      <c r="H160" s="161">
        <v>5557</v>
      </c>
      <c r="J160" s="107"/>
      <c r="K160" s="107"/>
      <c r="L160" s="107"/>
      <c r="M160" s="107"/>
      <c r="N160" s="107"/>
      <c r="O160" s="107"/>
    </row>
    <row r="161" spans="1:15" ht="15" hidden="1" x14ac:dyDescent="0.2">
      <c r="A161" s="91">
        <v>73</v>
      </c>
      <c r="B161" s="93"/>
      <c r="C161" s="160">
        <v>17963</v>
      </c>
      <c r="D161" s="159">
        <v>14356</v>
      </c>
      <c r="E161" s="159">
        <v>13405</v>
      </c>
      <c r="F161" s="159">
        <v>9530</v>
      </c>
      <c r="G161" s="159">
        <v>8214</v>
      </c>
      <c r="H161" s="161">
        <v>6118</v>
      </c>
      <c r="J161" s="107"/>
      <c r="K161" s="107"/>
      <c r="L161" s="107"/>
      <c r="M161" s="107"/>
      <c r="N161" s="107"/>
      <c r="O161" s="107"/>
    </row>
    <row r="162" spans="1:15" ht="15" hidden="1" x14ac:dyDescent="0.2">
      <c r="A162" s="91">
        <v>74</v>
      </c>
      <c r="B162" s="93"/>
      <c r="C162" s="160">
        <v>19596</v>
      </c>
      <c r="D162" s="159">
        <v>15648</v>
      </c>
      <c r="E162" s="159">
        <v>14624</v>
      </c>
      <c r="F162" s="159">
        <v>10407</v>
      </c>
      <c r="G162" s="159">
        <v>8969</v>
      </c>
      <c r="H162" s="161">
        <v>6678</v>
      </c>
      <c r="J162" s="107"/>
      <c r="K162" s="107"/>
      <c r="L162" s="107"/>
      <c r="M162" s="107"/>
      <c r="N162" s="107"/>
      <c r="O162" s="107"/>
    </row>
    <row r="163" spans="1:15" ht="15" hidden="1" x14ac:dyDescent="0.2">
      <c r="A163" s="91">
        <v>75</v>
      </c>
      <c r="B163" s="93" t="s">
        <v>12</v>
      </c>
      <c r="C163" s="160">
        <v>21400</v>
      </c>
      <c r="D163" s="159">
        <v>17061</v>
      </c>
      <c r="E163" s="159">
        <v>16038</v>
      </c>
      <c r="F163" s="159">
        <v>11382</v>
      </c>
      <c r="G163" s="159">
        <v>9798</v>
      </c>
      <c r="H163" s="161">
        <v>7288</v>
      </c>
      <c r="J163" s="107"/>
      <c r="K163" s="107"/>
      <c r="L163" s="107"/>
      <c r="M163" s="107"/>
      <c r="N163" s="107"/>
      <c r="O163" s="107"/>
    </row>
    <row r="164" spans="1:15" ht="15" hidden="1" x14ac:dyDescent="0.2">
      <c r="A164" s="91">
        <v>1</v>
      </c>
      <c r="B164" s="93" t="s">
        <v>13</v>
      </c>
      <c r="C164" s="160">
        <v>1194</v>
      </c>
      <c r="D164" s="159">
        <v>1072</v>
      </c>
      <c r="E164" s="159">
        <v>634</v>
      </c>
      <c r="F164" s="159">
        <v>536</v>
      </c>
      <c r="G164" s="159">
        <v>463</v>
      </c>
      <c r="H164" s="161">
        <v>341</v>
      </c>
      <c r="J164" s="107"/>
      <c r="K164" s="107"/>
      <c r="L164" s="107"/>
      <c r="M164" s="107"/>
      <c r="N164" s="107"/>
      <c r="O164" s="107"/>
    </row>
    <row r="165" spans="1:15" ht="15" hidden="1" x14ac:dyDescent="0.2">
      <c r="A165" s="91">
        <v>2</v>
      </c>
      <c r="B165" s="93" t="s">
        <v>1</v>
      </c>
      <c r="C165" s="160">
        <v>1974</v>
      </c>
      <c r="D165" s="159">
        <v>1828</v>
      </c>
      <c r="E165" s="159">
        <v>951</v>
      </c>
      <c r="F165" s="159">
        <v>853</v>
      </c>
      <c r="G165" s="159">
        <v>731</v>
      </c>
      <c r="H165" s="161">
        <v>536</v>
      </c>
      <c r="J165" s="107"/>
      <c r="K165" s="107"/>
      <c r="L165" s="107"/>
      <c r="M165" s="107"/>
      <c r="N165" s="107"/>
      <c r="O165" s="107"/>
    </row>
    <row r="166" spans="1:15" ht="15" hidden="1" x14ac:dyDescent="0.2">
      <c r="A166" s="91">
        <v>3</v>
      </c>
      <c r="B166" s="93" t="s">
        <v>14</v>
      </c>
      <c r="C166" s="160">
        <v>2876</v>
      </c>
      <c r="D166" s="159">
        <v>2681</v>
      </c>
      <c r="E166" s="159">
        <v>1365</v>
      </c>
      <c r="F166" s="159">
        <v>1243</v>
      </c>
      <c r="G166" s="159">
        <v>1072</v>
      </c>
      <c r="H166" s="161">
        <v>804</v>
      </c>
      <c r="J166" s="107"/>
      <c r="K166" s="107"/>
      <c r="L166" s="107"/>
      <c r="M166" s="107"/>
      <c r="N166" s="107"/>
      <c r="O166" s="107"/>
    </row>
    <row r="167" spans="1:15" hidden="1" x14ac:dyDescent="0.2">
      <c r="A167" s="91">
        <v>1</v>
      </c>
      <c r="B167" s="93" t="s">
        <v>3</v>
      </c>
      <c r="C167" s="114">
        <v>0</v>
      </c>
      <c r="D167" s="94">
        <v>225</v>
      </c>
      <c r="E167" s="94">
        <v>225</v>
      </c>
      <c r="F167" s="94">
        <v>225</v>
      </c>
      <c r="G167" s="94">
        <v>225</v>
      </c>
      <c r="H167" s="95">
        <v>225</v>
      </c>
      <c r="J167" s="107"/>
      <c r="K167" s="107"/>
      <c r="L167" s="107"/>
      <c r="M167" s="107"/>
      <c r="N167" s="107"/>
      <c r="O167" s="107"/>
    </row>
    <row r="168" spans="1:15" hidden="1" x14ac:dyDescent="0.2">
      <c r="A168" s="91">
        <v>1</v>
      </c>
      <c r="B168" s="93" t="s">
        <v>2</v>
      </c>
      <c r="C168" s="114">
        <v>0</v>
      </c>
      <c r="D168" s="94">
        <v>0</v>
      </c>
      <c r="E168" s="94">
        <v>0</v>
      </c>
      <c r="F168" s="94">
        <v>0</v>
      </c>
      <c r="G168" s="94">
        <v>0</v>
      </c>
      <c r="H168" s="95">
        <v>0</v>
      </c>
      <c r="J168" s="107"/>
      <c r="K168" s="107"/>
      <c r="L168" s="107"/>
      <c r="M168" s="107"/>
      <c r="N168" s="107"/>
      <c r="O168" s="107"/>
    </row>
    <row r="169" spans="1:15" hidden="1" x14ac:dyDescent="0.2">
      <c r="A169" s="91"/>
      <c r="H169" s="97"/>
    </row>
    <row r="170" spans="1:15" ht="18" hidden="1" x14ac:dyDescent="0.25">
      <c r="A170" s="325" t="s">
        <v>35</v>
      </c>
      <c r="B170" s="326"/>
      <c r="C170" s="326"/>
      <c r="D170" s="326"/>
      <c r="E170" s="326"/>
      <c r="F170" s="326"/>
      <c r="G170" s="326"/>
      <c r="H170" s="327"/>
    </row>
    <row r="171" spans="1:15" hidden="1" x14ac:dyDescent="0.2">
      <c r="A171" s="328" t="s">
        <v>0</v>
      </c>
      <c r="B171" s="329"/>
      <c r="C171" s="329"/>
      <c r="D171" s="329"/>
      <c r="E171" s="329"/>
      <c r="F171" s="329"/>
      <c r="G171" s="329"/>
      <c r="H171" s="90"/>
    </row>
    <row r="172" spans="1:15" hidden="1" x14ac:dyDescent="0.2">
      <c r="A172" s="91" t="s">
        <v>4</v>
      </c>
      <c r="B172" s="92" t="s">
        <v>4</v>
      </c>
      <c r="C172" s="155" t="s">
        <v>43</v>
      </c>
      <c r="D172" s="154" t="s">
        <v>44</v>
      </c>
      <c r="E172" s="154" t="s">
        <v>45</v>
      </c>
      <c r="F172" s="154" t="s">
        <v>46</v>
      </c>
      <c r="G172" s="154" t="s">
        <v>47</v>
      </c>
      <c r="H172" s="102" t="s">
        <v>48</v>
      </c>
    </row>
    <row r="173" spans="1:15" hidden="1" x14ac:dyDescent="0.2">
      <c r="A173" s="91">
        <v>18</v>
      </c>
      <c r="B173" s="93" t="s">
        <v>152</v>
      </c>
      <c r="C173" s="114">
        <v>1408.21</v>
      </c>
      <c r="D173" s="150">
        <v>1188.26</v>
      </c>
      <c r="E173" s="150">
        <v>930.15000000000009</v>
      </c>
      <c r="F173" s="150">
        <v>710.73</v>
      </c>
      <c r="G173" s="150">
        <v>620.1</v>
      </c>
      <c r="H173" s="163">
        <v>464.81</v>
      </c>
    </row>
    <row r="174" spans="1:15" hidden="1" x14ac:dyDescent="0.2">
      <c r="A174" s="91">
        <v>25</v>
      </c>
      <c r="B174" s="93" t="s">
        <v>5</v>
      </c>
      <c r="C174" s="114">
        <v>1562.97</v>
      </c>
      <c r="D174" s="150">
        <v>1304.8600000000001</v>
      </c>
      <c r="E174" s="150">
        <v>1046.22</v>
      </c>
      <c r="F174" s="150">
        <v>800.83</v>
      </c>
      <c r="G174" s="150">
        <v>684.76</v>
      </c>
      <c r="H174" s="163">
        <v>516.75</v>
      </c>
    </row>
    <row r="175" spans="1:15" hidden="1" x14ac:dyDescent="0.2">
      <c r="A175" s="91">
        <v>30</v>
      </c>
      <c r="B175" s="93" t="s">
        <v>6</v>
      </c>
      <c r="C175" s="114">
        <v>1795.64</v>
      </c>
      <c r="D175" s="150">
        <v>1498.3100000000002</v>
      </c>
      <c r="E175" s="150">
        <v>1226.95</v>
      </c>
      <c r="F175" s="150">
        <v>930.15000000000009</v>
      </c>
      <c r="G175" s="150">
        <v>800.83</v>
      </c>
      <c r="H175" s="163">
        <v>607.38</v>
      </c>
    </row>
    <row r="176" spans="1:15" hidden="1" x14ac:dyDescent="0.2">
      <c r="A176" s="91">
        <v>35</v>
      </c>
      <c r="B176" s="93" t="s">
        <v>7</v>
      </c>
      <c r="C176" s="114">
        <v>1989.0900000000001</v>
      </c>
      <c r="D176" s="150">
        <v>1653.6000000000001</v>
      </c>
      <c r="E176" s="150">
        <v>1382.24</v>
      </c>
      <c r="F176" s="150">
        <v>1033.5</v>
      </c>
      <c r="G176" s="150">
        <v>891.46</v>
      </c>
      <c r="H176" s="163">
        <v>671.51</v>
      </c>
    </row>
    <row r="177" spans="1:8" hidden="1" x14ac:dyDescent="0.2">
      <c r="A177" s="91">
        <v>40</v>
      </c>
      <c r="B177" s="93" t="s">
        <v>8</v>
      </c>
      <c r="C177" s="114">
        <v>2247.73</v>
      </c>
      <c r="D177" s="150">
        <v>1847.0500000000002</v>
      </c>
      <c r="E177" s="150">
        <v>1576.22</v>
      </c>
      <c r="F177" s="150">
        <v>1162.8200000000002</v>
      </c>
      <c r="G177" s="150">
        <v>1007.5300000000001</v>
      </c>
      <c r="H177" s="163">
        <v>762.14</v>
      </c>
    </row>
    <row r="178" spans="1:8" hidden="1" x14ac:dyDescent="0.2">
      <c r="A178" s="91">
        <v>45</v>
      </c>
      <c r="B178" s="93" t="s">
        <v>9</v>
      </c>
      <c r="C178" s="114">
        <v>2609.19</v>
      </c>
      <c r="D178" s="150">
        <v>2131.6600000000003</v>
      </c>
      <c r="E178" s="150">
        <v>1847.0500000000002</v>
      </c>
      <c r="F178" s="150">
        <v>1356.27</v>
      </c>
      <c r="G178" s="150">
        <v>1175.54</v>
      </c>
      <c r="H178" s="163">
        <v>878.21</v>
      </c>
    </row>
    <row r="179" spans="1:8" hidden="1" x14ac:dyDescent="0.2">
      <c r="A179" s="91">
        <v>50</v>
      </c>
      <c r="B179" s="93" t="s">
        <v>10</v>
      </c>
      <c r="C179" s="114">
        <v>2854.58</v>
      </c>
      <c r="D179" s="150">
        <v>2325.11</v>
      </c>
      <c r="E179" s="150">
        <v>2028.3100000000002</v>
      </c>
      <c r="F179" s="150">
        <v>1485.5900000000001</v>
      </c>
      <c r="G179" s="150">
        <v>1278.8900000000001</v>
      </c>
      <c r="H179" s="163">
        <v>968.84</v>
      </c>
    </row>
    <row r="180" spans="1:8" hidden="1" x14ac:dyDescent="0.2">
      <c r="A180" s="91">
        <v>55</v>
      </c>
      <c r="B180" s="93" t="s">
        <v>11</v>
      </c>
      <c r="C180" s="114">
        <v>3358.61</v>
      </c>
      <c r="D180" s="150">
        <v>2738.51</v>
      </c>
      <c r="E180" s="150">
        <v>2428.46</v>
      </c>
      <c r="F180" s="150">
        <v>1756.95</v>
      </c>
      <c r="G180" s="150">
        <v>1524.28</v>
      </c>
      <c r="H180" s="163">
        <v>1136.8500000000001</v>
      </c>
    </row>
    <row r="181" spans="1:8" hidden="1" x14ac:dyDescent="0.2">
      <c r="A181" s="91">
        <v>60</v>
      </c>
      <c r="B181" s="93"/>
      <c r="C181" s="114">
        <v>3552.59</v>
      </c>
      <c r="D181" s="150">
        <v>2867.83</v>
      </c>
      <c r="E181" s="150">
        <v>2596.4700000000003</v>
      </c>
      <c r="F181" s="150">
        <v>1860.3000000000002</v>
      </c>
      <c r="G181" s="150">
        <v>1614.91</v>
      </c>
      <c r="H181" s="163">
        <v>1201.51</v>
      </c>
    </row>
    <row r="182" spans="1:8" hidden="1" x14ac:dyDescent="0.2">
      <c r="A182" s="91">
        <v>61</v>
      </c>
      <c r="B182" s="93"/>
      <c r="C182" s="114">
        <v>3991.4300000000003</v>
      </c>
      <c r="D182" s="150">
        <v>3229.29</v>
      </c>
      <c r="E182" s="150">
        <v>2919.2400000000002</v>
      </c>
      <c r="F182" s="150">
        <v>2105.69</v>
      </c>
      <c r="G182" s="150">
        <v>1808.3600000000001</v>
      </c>
      <c r="H182" s="163">
        <v>1356.27</v>
      </c>
    </row>
    <row r="183" spans="1:8" hidden="1" x14ac:dyDescent="0.2">
      <c r="A183" s="91">
        <v>62</v>
      </c>
      <c r="B183" s="93"/>
      <c r="C183" s="114">
        <v>4443.5200000000004</v>
      </c>
      <c r="D183" s="150">
        <v>3591.28</v>
      </c>
      <c r="E183" s="150">
        <v>3242.54</v>
      </c>
      <c r="F183" s="150">
        <v>2338.36</v>
      </c>
      <c r="G183" s="150">
        <v>2015.0600000000002</v>
      </c>
      <c r="H183" s="163">
        <v>1511.5600000000002</v>
      </c>
    </row>
    <row r="184" spans="1:8" hidden="1" x14ac:dyDescent="0.2">
      <c r="A184" s="91">
        <v>63</v>
      </c>
      <c r="B184" s="93"/>
      <c r="C184" s="114">
        <v>4882.8900000000003</v>
      </c>
      <c r="D184" s="150">
        <v>3940.02</v>
      </c>
      <c r="E184" s="150">
        <v>3565.3100000000004</v>
      </c>
      <c r="F184" s="150">
        <v>2570.5</v>
      </c>
      <c r="G184" s="150">
        <v>2221.7600000000002</v>
      </c>
      <c r="H184" s="163">
        <v>1666.3200000000002</v>
      </c>
    </row>
    <row r="185" spans="1:8" hidden="1" x14ac:dyDescent="0.2">
      <c r="A185" s="91">
        <v>64</v>
      </c>
      <c r="B185" s="93"/>
      <c r="C185" s="114">
        <v>5334.9800000000005</v>
      </c>
      <c r="D185" s="150">
        <v>4301.4800000000005</v>
      </c>
      <c r="E185" s="150">
        <v>3901.3300000000004</v>
      </c>
      <c r="F185" s="150">
        <v>2803.17</v>
      </c>
      <c r="G185" s="150">
        <v>2428.46</v>
      </c>
      <c r="H185" s="163">
        <v>1821.6100000000001</v>
      </c>
    </row>
    <row r="186" spans="1:8" hidden="1" x14ac:dyDescent="0.2">
      <c r="A186" s="91">
        <v>65</v>
      </c>
      <c r="B186" s="93"/>
      <c r="C186" s="114">
        <v>5348.2300000000005</v>
      </c>
      <c r="D186" s="150">
        <v>4314.7300000000005</v>
      </c>
      <c r="E186" s="150">
        <v>3926.77</v>
      </c>
      <c r="F186" s="150">
        <v>2829.1400000000003</v>
      </c>
      <c r="G186" s="150">
        <v>2441.71</v>
      </c>
      <c r="H186" s="163">
        <v>1821.6100000000001</v>
      </c>
    </row>
    <row r="187" spans="1:8" hidden="1" x14ac:dyDescent="0.2">
      <c r="A187" s="91">
        <v>66</v>
      </c>
      <c r="B187" s="93"/>
      <c r="C187" s="114">
        <v>5373.67</v>
      </c>
      <c r="D187" s="150">
        <v>4314.7300000000005</v>
      </c>
      <c r="E187" s="150">
        <v>3965.9900000000002</v>
      </c>
      <c r="F187" s="150">
        <v>2841.86</v>
      </c>
      <c r="G187" s="150">
        <v>2454.4300000000003</v>
      </c>
      <c r="H187" s="163">
        <v>1821.6100000000001</v>
      </c>
    </row>
    <row r="188" spans="1:8" hidden="1" x14ac:dyDescent="0.2">
      <c r="A188" s="91">
        <v>67</v>
      </c>
      <c r="B188" s="93"/>
      <c r="C188" s="114">
        <v>5967.8</v>
      </c>
      <c r="D188" s="150">
        <v>4792.26</v>
      </c>
      <c r="E188" s="150">
        <v>4418.08</v>
      </c>
      <c r="F188" s="150">
        <v>3151.9100000000003</v>
      </c>
      <c r="G188" s="150">
        <v>2725.79</v>
      </c>
      <c r="H188" s="163">
        <v>2028.3100000000002</v>
      </c>
    </row>
    <row r="189" spans="1:8" hidden="1" x14ac:dyDescent="0.2">
      <c r="A189" s="91">
        <v>68</v>
      </c>
      <c r="B189" s="93"/>
      <c r="C189" s="114">
        <v>6562.46</v>
      </c>
      <c r="D189" s="150">
        <v>5270.3200000000006</v>
      </c>
      <c r="E189" s="150">
        <v>4856.92</v>
      </c>
      <c r="F189" s="150">
        <v>3474.6800000000003</v>
      </c>
      <c r="G189" s="150">
        <v>2997.15</v>
      </c>
      <c r="H189" s="163">
        <v>2235.0100000000002</v>
      </c>
    </row>
    <row r="190" spans="1:8" hidden="1" x14ac:dyDescent="0.2">
      <c r="A190" s="91">
        <v>69</v>
      </c>
      <c r="B190" s="93"/>
      <c r="C190" s="114">
        <v>6872.51</v>
      </c>
      <c r="D190" s="150">
        <v>5515.71</v>
      </c>
      <c r="E190" s="150">
        <v>5076.87</v>
      </c>
      <c r="F190" s="150">
        <v>3629.9700000000003</v>
      </c>
      <c r="G190" s="150">
        <v>3139.19</v>
      </c>
      <c r="H190" s="163">
        <v>2338.36</v>
      </c>
    </row>
    <row r="191" spans="1:8" hidden="1" x14ac:dyDescent="0.2">
      <c r="A191" s="91">
        <v>70</v>
      </c>
      <c r="B191" s="93"/>
      <c r="C191" s="114">
        <v>6911.2000000000007</v>
      </c>
      <c r="D191" s="150">
        <v>5528.96</v>
      </c>
      <c r="E191" s="150">
        <v>5154.25</v>
      </c>
      <c r="F191" s="150">
        <v>3668.6600000000003</v>
      </c>
      <c r="G191" s="150">
        <v>3164.63</v>
      </c>
      <c r="H191" s="163">
        <v>2351.08</v>
      </c>
    </row>
    <row r="192" spans="1:8" hidden="1" x14ac:dyDescent="0.2">
      <c r="A192" s="91">
        <v>71</v>
      </c>
      <c r="B192" s="93"/>
      <c r="C192" s="114">
        <v>7789.4100000000008</v>
      </c>
      <c r="D192" s="150">
        <v>6213.72</v>
      </c>
      <c r="E192" s="150">
        <v>5813.04</v>
      </c>
      <c r="F192" s="150">
        <v>4133.47</v>
      </c>
      <c r="G192" s="150">
        <v>3565.3100000000004</v>
      </c>
      <c r="H192" s="163">
        <v>2648.4100000000003</v>
      </c>
    </row>
    <row r="193" spans="1:15" hidden="1" x14ac:dyDescent="0.2">
      <c r="A193" s="91">
        <v>72</v>
      </c>
      <c r="B193" s="93"/>
      <c r="C193" s="114">
        <v>8654.9</v>
      </c>
      <c r="D193" s="150">
        <v>6911.2000000000007</v>
      </c>
      <c r="E193" s="150">
        <v>6459.1100000000006</v>
      </c>
      <c r="F193" s="150">
        <v>4585.5600000000004</v>
      </c>
      <c r="G193" s="150">
        <v>3952.7400000000002</v>
      </c>
      <c r="H193" s="163">
        <v>2945.21</v>
      </c>
    </row>
    <row r="194" spans="1:15" hidden="1" x14ac:dyDescent="0.2">
      <c r="A194" s="91">
        <v>73</v>
      </c>
      <c r="B194" s="93"/>
      <c r="C194" s="114">
        <v>9520.3900000000012</v>
      </c>
      <c r="D194" s="150">
        <v>7608.68</v>
      </c>
      <c r="E194" s="150">
        <v>7104.6500000000005</v>
      </c>
      <c r="F194" s="150">
        <v>5050.9000000000005</v>
      </c>
      <c r="G194" s="150">
        <v>4353.42</v>
      </c>
      <c r="H194" s="163">
        <v>3242.54</v>
      </c>
    </row>
    <row r="195" spans="1:15" hidden="1" x14ac:dyDescent="0.2">
      <c r="A195" s="91">
        <v>74</v>
      </c>
      <c r="B195" s="93"/>
      <c r="C195" s="114">
        <v>10385.880000000001</v>
      </c>
      <c r="D195" s="150">
        <v>8293.44</v>
      </c>
      <c r="E195" s="150">
        <v>7750.72</v>
      </c>
      <c r="F195" s="150">
        <v>5515.71</v>
      </c>
      <c r="G195" s="150">
        <v>4753.5700000000006</v>
      </c>
      <c r="H195" s="163">
        <v>3539.34</v>
      </c>
    </row>
    <row r="196" spans="1:15" hidden="1" x14ac:dyDescent="0.2">
      <c r="A196" s="91">
        <v>75</v>
      </c>
      <c r="B196" s="93" t="s">
        <v>12</v>
      </c>
      <c r="C196" s="114">
        <v>11342</v>
      </c>
      <c r="D196" s="150">
        <v>9042.33</v>
      </c>
      <c r="E196" s="150">
        <v>8500.1400000000012</v>
      </c>
      <c r="F196" s="150">
        <v>6032.46</v>
      </c>
      <c r="G196" s="150">
        <v>5192.9400000000005</v>
      </c>
      <c r="H196" s="163">
        <v>3862.6400000000003</v>
      </c>
    </row>
    <row r="197" spans="1:15" hidden="1" x14ac:dyDescent="0.2">
      <c r="A197" s="91">
        <v>1</v>
      </c>
      <c r="B197" s="93" t="s">
        <v>13</v>
      </c>
      <c r="C197" s="114">
        <v>632.82000000000005</v>
      </c>
      <c r="D197" s="150">
        <v>568.16000000000008</v>
      </c>
      <c r="E197" s="150">
        <v>336.02000000000004</v>
      </c>
      <c r="F197" s="150">
        <v>284.08000000000004</v>
      </c>
      <c r="G197" s="150">
        <v>245.39000000000001</v>
      </c>
      <c r="H197" s="163">
        <v>180.73000000000002</v>
      </c>
    </row>
    <row r="198" spans="1:15" hidden="1" x14ac:dyDescent="0.2">
      <c r="A198" s="91">
        <v>2</v>
      </c>
      <c r="B198" s="93" t="s">
        <v>1</v>
      </c>
      <c r="C198" s="114">
        <v>1046.22</v>
      </c>
      <c r="D198" s="150">
        <v>968.84</v>
      </c>
      <c r="E198" s="150">
        <v>504.03000000000003</v>
      </c>
      <c r="F198" s="150">
        <v>452.09000000000003</v>
      </c>
      <c r="G198" s="150">
        <v>387.43</v>
      </c>
      <c r="H198" s="163">
        <v>284.08000000000004</v>
      </c>
    </row>
    <row r="199" spans="1:15" hidden="1" x14ac:dyDescent="0.2">
      <c r="A199" s="91">
        <v>3</v>
      </c>
      <c r="B199" s="93" t="s">
        <v>14</v>
      </c>
      <c r="C199" s="114">
        <v>1524.28</v>
      </c>
      <c r="D199" s="150">
        <v>1420.93</v>
      </c>
      <c r="E199" s="150">
        <v>723.45</v>
      </c>
      <c r="F199" s="150">
        <v>658.79000000000008</v>
      </c>
      <c r="G199" s="150">
        <v>568.16000000000008</v>
      </c>
      <c r="H199" s="163">
        <v>426.12</v>
      </c>
    </row>
    <row r="200" spans="1:15" hidden="1" x14ac:dyDescent="0.2">
      <c r="A200" s="91">
        <v>1</v>
      </c>
      <c r="B200" s="93" t="s">
        <v>3</v>
      </c>
      <c r="C200" s="114">
        <f t="shared" ref="C200:H201" si="4">+C167*$L$2</f>
        <v>0</v>
      </c>
      <c r="D200" s="94">
        <f t="shared" si="4"/>
        <v>119.25</v>
      </c>
      <c r="E200" s="94">
        <f t="shared" si="4"/>
        <v>119.25</v>
      </c>
      <c r="F200" s="94">
        <f t="shared" si="4"/>
        <v>119.25</v>
      </c>
      <c r="G200" s="94">
        <f t="shared" si="4"/>
        <v>119.25</v>
      </c>
      <c r="H200" s="95">
        <f t="shared" si="4"/>
        <v>119.25</v>
      </c>
    </row>
    <row r="201" spans="1:15" ht="13.5" hidden="1" thickBot="1" x14ac:dyDescent="0.25">
      <c r="A201" s="98">
        <v>1</v>
      </c>
      <c r="B201" s="99" t="s">
        <v>2</v>
      </c>
      <c r="C201" s="121">
        <f t="shared" si="4"/>
        <v>0</v>
      </c>
      <c r="D201" s="100">
        <f t="shared" si="4"/>
        <v>0</v>
      </c>
      <c r="E201" s="100">
        <f t="shared" si="4"/>
        <v>0</v>
      </c>
      <c r="F201" s="100">
        <f t="shared" si="4"/>
        <v>0</v>
      </c>
      <c r="G201" s="100">
        <f t="shared" si="4"/>
        <v>0</v>
      </c>
      <c r="H201" s="101">
        <f t="shared" si="4"/>
        <v>0</v>
      </c>
    </row>
    <row r="202" spans="1:15" ht="13.5" hidden="1" thickBot="1" x14ac:dyDescent="0.25"/>
    <row r="203" spans="1:15" ht="18" hidden="1" x14ac:dyDescent="0.25">
      <c r="A203" s="335" t="s">
        <v>49</v>
      </c>
      <c r="B203" s="336"/>
      <c r="C203" s="336"/>
      <c r="D203" s="336"/>
      <c r="E203" s="336"/>
      <c r="F203" s="336"/>
      <c r="G203" s="336"/>
      <c r="H203" s="337"/>
    </row>
    <row r="204" spans="1:15" ht="18" hidden="1" x14ac:dyDescent="0.25">
      <c r="A204" s="330" t="s">
        <v>28</v>
      </c>
      <c r="B204" s="331"/>
      <c r="C204" s="331"/>
      <c r="D204" s="331"/>
      <c r="E204" s="331"/>
      <c r="F204" s="331"/>
      <c r="G204" s="331"/>
      <c r="H204" s="332"/>
    </row>
    <row r="205" spans="1:15" hidden="1" x14ac:dyDescent="0.2">
      <c r="A205" s="333" t="s">
        <v>0</v>
      </c>
      <c r="B205" s="334"/>
      <c r="C205" s="334"/>
      <c r="D205" s="334"/>
      <c r="E205" s="334"/>
      <c r="F205" s="334"/>
      <c r="G205" s="334"/>
      <c r="H205" s="108"/>
    </row>
    <row r="206" spans="1:15" hidden="1" x14ac:dyDescent="0.2">
      <c r="A206" s="109" t="s">
        <v>4</v>
      </c>
      <c r="B206" s="110" t="s">
        <v>4</v>
      </c>
      <c r="C206" s="111" t="s">
        <v>50</v>
      </c>
      <c r="D206" s="111" t="s">
        <v>51</v>
      </c>
      <c r="E206" s="111" t="s">
        <v>52</v>
      </c>
      <c r="F206" s="111" t="s">
        <v>53</v>
      </c>
      <c r="G206" s="111" t="s">
        <v>54</v>
      </c>
      <c r="H206" s="108" t="s">
        <v>55</v>
      </c>
    </row>
    <row r="207" spans="1:15" hidden="1" x14ac:dyDescent="0.2">
      <c r="A207" s="109">
        <v>18</v>
      </c>
      <c r="B207" s="113" t="s">
        <v>152</v>
      </c>
      <c r="C207" s="114">
        <v>4108</v>
      </c>
      <c r="D207" s="114">
        <v>2493</v>
      </c>
      <c r="E207" s="114">
        <v>1711</v>
      </c>
      <c r="F207" s="114">
        <v>1222</v>
      </c>
      <c r="G207" s="114">
        <v>864</v>
      </c>
      <c r="H207" s="115">
        <v>656</v>
      </c>
      <c r="J207" s="107"/>
      <c r="K207" s="107"/>
      <c r="L207" s="107"/>
      <c r="M207" s="107"/>
      <c r="N207" s="107"/>
      <c r="O207" s="107"/>
    </row>
    <row r="208" spans="1:15" hidden="1" x14ac:dyDescent="0.2">
      <c r="A208" s="109">
        <v>25</v>
      </c>
      <c r="B208" s="113" t="s">
        <v>5</v>
      </c>
      <c r="C208" s="114">
        <v>4312</v>
      </c>
      <c r="D208" s="114">
        <v>2617</v>
      </c>
      <c r="E208" s="114">
        <v>1893</v>
      </c>
      <c r="F208" s="114">
        <v>1355</v>
      </c>
      <c r="G208" s="114">
        <v>958</v>
      </c>
      <c r="H208" s="115">
        <v>727</v>
      </c>
      <c r="J208" s="107"/>
      <c r="K208" s="107"/>
      <c r="L208" s="107"/>
      <c r="M208" s="107"/>
      <c r="N208" s="107"/>
      <c r="O208" s="107"/>
    </row>
    <row r="209" spans="1:15" hidden="1" x14ac:dyDescent="0.2">
      <c r="A209" s="109">
        <v>30</v>
      </c>
      <c r="B209" s="113" t="s">
        <v>6</v>
      </c>
      <c r="C209" s="114">
        <v>4497</v>
      </c>
      <c r="D209" s="114">
        <v>2733</v>
      </c>
      <c r="E209" s="114">
        <v>2028</v>
      </c>
      <c r="F209" s="114">
        <v>1520</v>
      </c>
      <c r="G209" s="114">
        <v>1162</v>
      </c>
      <c r="H209" s="115">
        <v>884</v>
      </c>
      <c r="J209" s="107"/>
      <c r="K209" s="107"/>
      <c r="L209" s="107"/>
      <c r="M209" s="107"/>
      <c r="N209" s="107"/>
      <c r="O209" s="107"/>
    </row>
    <row r="210" spans="1:15" hidden="1" x14ac:dyDescent="0.2">
      <c r="A210" s="109">
        <v>35</v>
      </c>
      <c r="B210" s="113" t="s">
        <v>7</v>
      </c>
      <c r="C210" s="114">
        <v>5030</v>
      </c>
      <c r="D210" s="114">
        <v>3059</v>
      </c>
      <c r="E210" s="114">
        <v>2271</v>
      </c>
      <c r="F210" s="114">
        <v>1704</v>
      </c>
      <c r="G210" s="114">
        <v>1304</v>
      </c>
      <c r="H210" s="115">
        <v>991</v>
      </c>
      <c r="J210" s="107"/>
      <c r="K210" s="107"/>
      <c r="L210" s="107"/>
      <c r="M210" s="107"/>
      <c r="N210" s="107"/>
      <c r="O210" s="107"/>
    </row>
    <row r="211" spans="1:15" hidden="1" x14ac:dyDescent="0.2">
      <c r="A211" s="109">
        <v>40</v>
      </c>
      <c r="B211" s="113" t="s">
        <v>8</v>
      </c>
      <c r="C211" s="114">
        <v>5699</v>
      </c>
      <c r="D211" s="114">
        <v>3544</v>
      </c>
      <c r="E211" s="114">
        <v>2490</v>
      </c>
      <c r="F211" s="114">
        <v>1897</v>
      </c>
      <c r="G211" s="114">
        <v>1437</v>
      </c>
      <c r="H211" s="115">
        <v>1095</v>
      </c>
      <c r="J211" s="107"/>
      <c r="K211" s="107"/>
      <c r="L211" s="107"/>
      <c r="M211" s="107"/>
      <c r="N211" s="107"/>
      <c r="O211" s="107"/>
    </row>
    <row r="212" spans="1:15" hidden="1" x14ac:dyDescent="0.2">
      <c r="A212" s="109">
        <v>45</v>
      </c>
      <c r="B212" s="113" t="s">
        <v>9</v>
      </c>
      <c r="C212" s="114">
        <v>6362</v>
      </c>
      <c r="D212" s="114">
        <v>3962</v>
      </c>
      <c r="E212" s="114">
        <v>2784</v>
      </c>
      <c r="F212" s="114">
        <v>2121</v>
      </c>
      <c r="G212" s="114">
        <v>1606</v>
      </c>
      <c r="H212" s="115">
        <v>1226</v>
      </c>
      <c r="J212" s="107"/>
      <c r="K212" s="107"/>
      <c r="L212" s="107"/>
      <c r="M212" s="107"/>
      <c r="N212" s="107"/>
      <c r="O212" s="107"/>
    </row>
    <row r="213" spans="1:15" hidden="1" x14ac:dyDescent="0.2">
      <c r="A213" s="109">
        <v>50</v>
      </c>
      <c r="B213" s="113" t="s">
        <v>10</v>
      </c>
      <c r="C213" s="114">
        <v>8400</v>
      </c>
      <c r="D213" s="114">
        <v>5181</v>
      </c>
      <c r="E213" s="114">
        <v>3675</v>
      </c>
      <c r="F213" s="114">
        <v>2788</v>
      </c>
      <c r="G213" s="114">
        <v>2297</v>
      </c>
      <c r="H213" s="115">
        <v>1752</v>
      </c>
      <c r="J213" s="107"/>
      <c r="K213" s="107"/>
      <c r="L213" s="107"/>
      <c r="M213" s="107"/>
      <c r="N213" s="107"/>
      <c r="O213" s="107"/>
    </row>
    <row r="214" spans="1:15" hidden="1" x14ac:dyDescent="0.2">
      <c r="A214" s="109">
        <v>55</v>
      </c>
      <c r="B214" s="113" t="s">
        <v>11</v>
      </c>
      <c r="C214" s="114">
        <v>8934</v>
      </c>
      <c r="D214" s="114">
        <v>5515</v>
      </c>
      <c r="E214" s="114">
        <v>3910</v>
      </c>
      <c r="F214" s="114">
        <v>2965</v>
      </c>
      <c r="G214" s="114">
        <v>2444</v>
      </c>
      <c r="H214" s="115">
        <v>1865</v>
      </c>
      <c r="J214" s="107"/>
      <c r="K214" s="107"/>
      <c r="L214" s="107"/>
      <c r="M214" s="107"/>
      <c r="N214" s="107"/>
      <c r="O214" s="107"/>
    </row>
    <row r="215" spans="1:15" hidden="1" x14ac:dyDescent="0.2">
      <c r="A215" s="109">
        <v>60</v>
      </c>
      <c r="B215" s="113"/>
      <c r="C215" s="114">
        <v>9484</v>
      </c>
      <c r="D215" s="114">
        <v>6004</v>
      </c>
      <c r="E215" s="114">
        <v>4246</v>
      </c>
      <c r="F215" s="114">
        <v>3377</v>
      </c>
      <c r="G215" s="114">
        <v>2908</v>
      </c>
      <c r="H215" s="115">
        <v>2333</v>
      </c>
      <c r="J215" s="107"/>
      <c r="K215" s="107"/>
      <c r="L215" s="107"/>
      <c r="M215" s="107"/>
      <c r="N215" s="107"/>
      <c r="O215" s="107"/>
    </row>
    <row r="216" spans="1:15" hidden="1" x14ac:dyDescent="0.2">
      <c r="A216" s="109">
        <v>61</v>
      </c>
      <c r="B216" s="113"/>
      <c r="C216" s="114">
        <v>10185</v>
      </c>
      <c r="D216" s="114">
        <v>6452</v>
      </c>
      <c r="E216" s="114">
        <v>4562</v>
      </c>
      <c r="F216" s="114">
        <v>3627</v>
      </c>
      <c r="G216" s="114">
        <v>3125</v>
      </c>
      <c r="H216" s="115">
        <v>2507</v>
      </c>
      <c r="J216" s="107"/>
      <c r="K216" s="107"/>
      <c r="L216" s="107"/>
      <c r="M216" s="107"/>
      <c r="N216" s="107"/>
      <c r="O216" s="107"/>
    </row>
    <row r="217" spans="1:15" hidden="1" x14ac:dyDescent="0.2">
      <c r="A217" s="109">
        <v>62</v>
      </c>
      <c r="B217" s="113"/>
      <c r="C217" s="114">
        <v>11146</v>
      </c>
      <c r="D217" s="114">
        <v>7062</v>
      </c>
      <c r="E217" s="114">
        <v>4997</v>
      </c>
      <c r="F217" s="114">
        <v>3973</v>
      </c>
      <c r="G217" s="114">
        <v>3422</v>
      </c>
      <c r="H217" s="115">
        <v>2746</v>
      </c>
      <c r="J217" s="107"/>
      <c r="K217" s="107"/>
      <c r="L217" s="107"/>
      <c r="M217" s="107"/>
      <c r="N217" s="107"/>
      <c r="O217" s="107"/>
    </row>
    <row r="218" spans="1:15" hidden="1" x14ac:dyDescent="0.2">
      <c r="A218" s="109">
        <v>63</v>
      </c>
      <c r="B218" s="113"/>
      <c r="C218" s="114">
        <v>11845</v>
      </c>
      <c r="D218" s="114">
        <v>7510</v>
      </c>
      <c r="E218" s="114">
        <v>5314</v>
      </c>
      <c r="F218" s="114">
        <v>4224</v>
      </c>
      <c r="G218" s="114">
        <v>3639</v>
      </c>
      <c r="H218" s="115">
        <v>2920</v>
      </c>
      <c r="J218" s="107"/>
      <c r="K218" s="107"/>
      <c r="L218" s="107"/>
      <c r="M218" s="107"/>
      <c r="N218" s="107"/>
      <c r="O218" s="107"/>
    </row>
    <row r="219" spans="1:15" hidden="1" x14ac:dyDescent="0.2">
      <c r="A219" s="109">
        <v>64</v>
      </c>
      <c r="B219" s="113"/>
      <c r="C219" s="114">
        <v>12809</v>
      </c>
      <c r="D219" s="114">
        <v>8124</v>
      </c>
      <c r="E219" s="114">
        <v>5749</v>
      </c>
      <c r="F219" s="114">
        <v>4572</v>
      </c>
      <c r="G219" s="114">
        <v>3937</v>
      </c>
      <c r="H219" s="115">
        <v>3161</v>
      </c>
      <c r="J219" s="107"/>
      <c r="K219" s="107"/>
      <c r="L219" s="107"/>
      <c r="M219" s="107"/>
      <c r="N219" s="107"/>
      <c r="O219" s="107"/>
    </row>
    <row r="220" spans="1:15" hidden="1" x14ac:dyDescent="0.2">
      <c r="A220" s="109">
        <v>65</v>
      </c>
      <c r="B220" s="113"/>
      <c r="C220" s="114">
        <v>13423</v>
      </c>
      <c r="D220" s="114">
        <v>10620</v>
      </c>
      <c r="E220" s="114">
        <v>7502</v>
      </c>
      <c r="F220" s="114">
        <v>5783</v>
      </c>
      <c r="G220" s="114">
        <v>5253</v>
      </c>
      <c r="H220" s="115">
        <v>4458</v>
      </c>
      <c r="J220" s="107"/>
      <c r="K220" s="107"/>
      <c r="L220" s="107"/>
      <c r="M220" s="107"/>
      <c r="N220" s="107"/>
      <c r="O220" s="107"/>
    </row>
    <row r="221" spans="1:15" hidden="1" x14ac:dyDescent="0.2">
      <c r="A221" s="109">
        <v>66</v>
      </c>
      <c r="B221" s="113"/>
      <c r="C221" s="114">
        <v>14033</v>
      </c>
      <c r="D221" s="114">
        <v>12341</v>
      </c>
      <c r="E221" s="114">
        <v>8716</v>
      </c>
      <c r="F221" s="114">
        <v>6718</v>
      </c>
      <c r="G221" s="114">
        <v>6105</v>
      </c>
      <c r="H221" s="115">
        <v>5183</v>
      </c>
      <c r="J221" s="107"/>
      <c r="K221" s="107"/>
      <c r="L221" s="107"/>
      <c r="M221" s="107"/>
      <c r="N221" s="107"/>
      <c r="O221" s="107"/>
    </row>
    <row r="222" spans="1:15" hidden="1" x14ac:dyDescent="0.2">
      <c r="A222" s="109">
        <v>67</v>
      </c>
      <c r="B222" s="113"/>
      <c r="C222" s="114">
        <v>15322</v>
      </c>
      <c r="D222" s="114">
        <v>13481</v>
      </c>
      <c r="E222" s="114">
        <v>9521</v>
      </c>
      <c r="F222" s="114">
        <v>7338</v>
      </c>
      <c r="G222" s="114">
        <v>6668</v>
      </c>
      <c r="H222" s="115">
        <v>5662</v>
      </c>
      <c r="J222" s="107"/>
      <c r="K222" s="107"/>
      <c r="L222" s="107"/>
      <c r="M222" s="107"/>
      <c r="N222" s="107"/>
      <c r="O222" s="107"/>
    </row>
    <row r="223" spans="1:15" hidden="1" x14ac:dyDescent="0.2">
      <c r="A223" s="109">
        <v>68</v>
      </c>
      <c r="B223" s="113"/>
      <c r="C223" s="114">
        <v>16961</v>
      </c>
      <c r="D223" s="114">
        <v>14927</v>
      </c>
      <c r="E223" s="114">
        <v>10543</v>
      </c>
      <c r="F223" s="114">
        <v>8127</v>
      </c>
      <c r="G223" s="114">
        <v>7387</v>
      </c>
      <c r="H223" s="115">
        <v>6271</v>
      </c>
      <c r="J223" s="107"/>
      <c r="K223" s="107"/>
      <c r="L223" s="107"/>
      <c r="M223" s="107"/>
      <c r="N223" s="107"/>
      <c r="O223" s="107"/>
    </row>
    <row r="224" spans="1:15" hidden="1" x14ac:dyDescent="0.2">
      <c r="A224" s="109">
        <v>69</v>
      </c>
      <c r="B224" s="113"/>
      <c r="C224" s="114">
        <v>18656</v>
      </c>
      <c r="D224" s="114">
        <v>16424</v>
      </c>
      <c r="E224" s="114">
        <v>11600</v>
      </c>
      <c r="F224" s="114">
        <v>8941</v>
      </c>
      <c r="G224" s="114">
        <v>8127</v>
      </c>
      <c r="H224" s="115">
        <v>6900</v>
      </c>
      <c r="J224" s="107"/>
      <c r="K224" s="107"/>
      <c r="L224" s="107"/>
      <c r="M224" s="107"/>
      <c r="N224" s="107"/>
      <c r="O224" s="107"/>
    </row>
    <row r="225" spans="1:15" hidden="1" x14ac:dyDescent="0.2">
      <c r="A225" s="109">
        <v>70</v>
      </c>
      <c r="B225" s="113"/>
      <c r="C225" s="114">
        <v>22081</v>
      </c>
      <c r="D225" s="114">
        <v>20216</v>
      </c>
      <c r="E225" s="114">
        <v>14125</v>
      </c>
      <c r="F225" s="114">
        <v>10526</v>
      </c>
      <c r="G225" s="114">
        <v>9470</v>
      </c>
      <c r="H225" s="115">
        <v>8117</v>
      </c>
      <c r="J225" s="107"/>
      <c r="K225" s="107"/>
      <c r="L225" s="107"/>
      <c r="M225" s="107"/>
      <c r="N225" s="107"/>
      <c r="O225" s="107"/>
    </row>
    <row r="226" spans="1:15" hidden="1" x14ac:dyDescent="0.2">
      <c r="A226" s="109">
        <v>71</v>
      </c>
      <c r="B226" s="113"/>
      <c r="C226" s="114">
        <v>22943</v>
      </c>
      <c r="D226" s="114">
        <v>21009</v>
      </c>
      <c r="E226" s="114">
        <v>14681</v>
      </c>
      <c r="F226" s="114">
        <v>10940</v>
      </c>
      <c r="G226" s="114">
        <v>9844</v>
      </c>
      <c r="H226" s="115">
        <v>8436</v>
      </c>
      <c r="J226" s="107"/>
      <c r="K226" s="107"/>
      <c r="L226" s="107"/>
      <c r="M226" s="107"/>
      <c r="N226" s="107"/>
      <c r="O226" s="107"/>
    </row>
    <row r="227" spans="1:15" hidden="1" x14ac:dyDescent="0.2">
      <c r="A227" s="109">
        <v>72</v>
      </c>
      <c r="B227" s="113"/>
      <c r="C227" s="114">
        <v>23592</v>
      </c>
      <c r="D227" s="114">
        <v>21603</v>
      </c>
      <c r="E227" s="114">
        <v>15097</v>
      </c>
      <c r="F227" s="114">
        <v>11250</v>
      </c>
      <c r="G227" s="114">
        <v>10123</v>
      </c>
      <c r="H227" s="115">
        <v>8676</v>
      </c>
      <c r="J227" s="107"/>
      <c r="K227" s="107"/>
      <c r="L227" s="107"/>
      <c r="M227" s="107"/>
      <c r="N227" s="107"/>
      <c r="O227" s="107"/>
    </row>
    <row r="228" spans="1:15" hidden="1" x14ac:dyDescent="0.2">
      <c r="A228" s="109">
        <v>73</v>
      </c>
      <c r="B228" s="113"/>
      <c r="C228" s="114">
        <v>24457</v>
      </c>
      <c r="D228" s="114">
        <v>22398</v>
      </c>
      <c r="E228" s="114">
        <v>15651</v>
      </c>
      <c r="F228" s="114">
        <v>11665</v>
      </c>
      <c r="G228" s="114">
        <v>10493</v>
      </c>
      <c r="H228" s="115">
        <v>8996</v>
      </c>
      <c r="J228" s="107"/>
      <c r="K228" s="107"/>
      <c r="L228" s="107"/>
      <c r="M228" s="107"/>
      <c r="N228" s="107"/>
      <c r="O228" s="107"/>
    </row>
    <row r="229" spans="1:15" hidden="1" x14ac:dyDescent="0.2">
      <c r="A229" s="109">
        <v>74</v>
      </c>
      <c r="B229" s="113"/>
      <c r="C229" s="114">
        <v>24890</v>
      </c>
      <c r="D229" s="114">
        <v>22795</v>
      </c>
      <c r="E229" s="114">
        <v>15928</v>
      </c>
      <c r="F229" s="114">
        <v>11869</v>
      </c>
      <c r="G229" s="114">
        <v>10680</v>
      </c>
      <c r="H229" s="115">
        <v>9155</v>
      </c>
      <c r="J229" s="107"/>
      <c r="K229" s="107"/>
      <c r="L229" s="107"/>
      <c r="M229" s="107"/>
      <c r="N229" s="107"/>
      <c r="O229" s="107"/>
    </row>
    <row r="230" spans="1:15" hidden="1" x14ac:dyDescent="0.2">
      <c r="A230" s="109">
        <v>75</v>
      </c>
      <c r="B230" s="113" t="s">
        <v>12</v>
      </c>
      <c r="C230" s="114">
        <v>25970</v>
      </c>
      <c r="D230" s="114">
        <v>23787</v>
      </c>
      <c r="E230" s="114">
        <v>16621</v>
      </c>
      <c r="F230" s="114">
        <v>12385</v>
      </c>
      <c r="G230" s="114">
        <v>11147</v>
      </c>
      <c r="H230" s="115">
        <v>9552</v>
      </c>
      <c r="J230" s="107"/>
      <c r="K230" s="107"/>
      <c r="L230" s="107"/>
      <c r="M230" s="107"/>
      <c r="N230" s="107"/>
      <c r="O230" s="107"/>
    </row>
    <row r="231" spans="1:15" hidden="1" x14ac:dyDescent="0.2">
      <c r="A231" s="109">
        <v>1</v>
      </c>
      <c r="B231" s="113" t="s">
        <v>13</v>
      </c>
      <c r="C231" s="114">
        <v>1395</v>
      </c>
      <c r="D231" s="114">
        <v>867</v>
      </c>
      <c r="E231" s="114">
        <v>632</v>
      </c>
      <c r="F231" s="114">
        <v>499</v>
      </c>
      <c r="G231" s="114">
        <v>421</v>
      </c>
      <c r="H231" s="115">
        <v>313</v>
      </c>
      <c r="J231" s="107"/>
      <c r="K231" s="107"/>
      <c r="L231" s="107"/>
      <c r="M231" s="107"/>
      <c r="N231" s="107"/>
      <c r="O231" s="107"/>
    </row>
    <row r="232" spans="1:15" hidden="1" x14ac:dyDescent="0.2">
      <c r="A232" s="109">
        <v>2</v>
      </c>
      <c r="B232" s="113" t="s">
        <v>1</v>
      </c>
      <c r="C232" s="114">
        <v>2187</v>
      </c>
      <c r="D232" s="114">
        <v>1379</v>
      </c>
      <c r="E232" s="114">
        <v>1009</v>
      </c>
      <c r="F232" s="114">
        <v>795</v>
      </c>
      <c r="G232" s="114">
        <v>669</v>
      </c>
      <c r="H232" s="115">
        <v>498</v>
      </c>
      <c r="J232" s="107"/>
      <c r="K232" s="107"/>
      <c r="L232" s="107"/>
      <c r="M232" s="107"/>
      <c r="N232" s="107"/>
      <c r="O232" s="107"/>
    </row>
    <row r="233" spans="1:15" hidden="1" x14ac:dyDescent="0.2">
      <c r="A233" s="109">
        <v>3</v>
      </c>
      <c r="B233" s="113" t="s">
        <v>14</v>
      </c>
      <c r="C233" s="114">
        <v>3179</v>
      </c>
      <c r="D233" s="114">
        <v>2023</v>
      </c>
      <c r="E233" s="114">
        <v>1479</v>
      </c>
      <c r="F233" s="114">
        <v>1166</v>
      </c>
      <c r="G233" s="114">
        <v>983</v>
      </c>
      <c r="H233" s="115">
        <v>727</v>
      </c>
      <c r="J233" s="107"/>
      <c r="K233" s="107"/>
      <c r="L233" s="107"/>
      <c r="M233" s="107"/>
      <c r="N233" s="107"/>
      <c r="O233" s="107"/>
    </row>
    <row r="234" spans="1:15" hidden="1" x14ac:dyDescent="0.2">
      <c r="A234" s="109">
        <v>1</v>
      </c>
      <c r="B234" s="113" t="s">
        <v>3</v>
      </c>
      <c r="C234" s="114">
        <v>0</v>
      </c>
      <c r="D234" s="114">
        <v>0</v>
      </c>
      <c r="E234" s="114">
        <v>0</v>
      </c>
      <c r="F234" s="114">
        <v>225</v>
      </c>
      <c r="G234" s="114">
        <v>225</v>
      </c>
      <c r="H234" s="115">
        <v>225</v>
      </c>
      <c r="J234" s="107"/>
      <c r="K234" s="107"/>
      <c r="L234" s="107"/>
      <c r="M234" s="107"/>
      <c r="N234" s="107"/>
      <c r="O234" s="107"/>
    </row>
    <row r="235" spans="1:15" hidden="1" x14ac:dyDescent="0.2">
      <c r="A235" s="109">
        <v>1</v>
      </c>
      <c r="B235" s="113" t="s">
        <v>2</v>
      </c>
      <c r="C235" s="114">
        <v>0</v>
      </c>
      <c r="D235" s="114">
        <v>0</v>
      </c>
      <c r="E235" s="114">
        <v>0</v>
      </c>
      <c r="F235" s="114">
        <v>0</v>
      </c>
      <c r="G235" s="114">
        <v>0</v>
      </c>
      <c r="H235" s="115">
        <v>0</v>
      </c>
      <c r="J235" s="107"/>
      <c r="K235" s="107"/>
      <c r="L235" s="107"/>
      <c r="M235" s="107"/>
      <c r="N235" s="107"/>
      <c r="O235" s="107"/>
    </row>
    <row r="236" spans="1:15" hidden="1" x14ac:dyDescent="0.2">
      <c r="A236" s="109"/>
      <c r="B236" s="116"/>
      <c r="C236" s="117"/>
      <c r="D236" s="117"/>
      <c r="E236" s="117"/>
      <c r="F236" s="117"/>
      <c r="G236" s="117"/>
      <c r="H236" s="118"/>
    </row>
    <row r="237" spans="1:15" ht="18" hidden="1" x14ac:dyDescent="0.25">
      <c r="A237" s="330" t="s">
        <v>35</v>
      </c>
      <c r="B237" s="331"/>
      <c r="C237" s="331"/>
      <c r="D237" s="331"/>
      <c r="E237" s="331"/>
      <c r="F237" s="331"/>
      <c r="G237" s="331"/>
      <c r="H237" s="332"/>
    </row>
    <row r="238" spans="1:15" hidden="1" x14ac:dyDescent="0.2">
      <c r="A238" s="333" t="s">
        <v>0</v>
      </c>
      <c r="B238" s="334"/>
      <c r="C238" s="334"/>
      <c r="D238" s="334"/>
      <c r="E238" s="334"/>
      <c r="F238" s="334"/>
      <c r="G238" s="334"/>
      <c r="H238" s="108"/>
    </row>
    <row r="239" spans="1:15" hidden="1" x14ac:dyDescent="0.2">
      <c r="A239" s="109" t="s">
        <v>4</v>
      </c>
      <c r="B239" s="110" t="s">
        <v>4</v>
      </c>
      <c r="C239" s="111" t="s">
        <v>50</v>
      </c>
      <c r="D239" s="111" t="s">
        <v>51</v>
      </c>
      <c r="E239" s="111" t="s">
        <v>52</v>
      </c>
      <c r="F239" s="111" t="s">
        <v>53</v>
      </c>
      <c r="G239" s="111" t="s">
        <v>54</v>
      </c>
      <c r="H239" s="108" t="s">
        <v>55</v>
      </c>
    </row>
    <row r="240" spans="1:15" hidden="1" x14ac:dyDescent="0.2">
      <c r="A240" s="109">
        <v>18</v>
      </c>
      <c r="B240" s="113" t="s">
        <v>152</v>
      </c>
      <c r="C240" s="114">
        <f t="shared" ref="C240:H249" si="5">+C207*$L$2</f>
        <v>2177.2400000000002</v>
      </c>
      <c r="D240" s="114">
        <f t="shared" si="5"/>
        <v>1321.29</v>
      </c>
      <c r="E240" s="114">
        <f t="shared" si="5"/>
        <v>906.83</v>
      </c>
      <c r="F240" s="114">
        <f t="shared" si="5"/>
        <v>647.66000000000008</v>
      </c>
      <c r="G240" s="114">
        <f t="shared" si="5"/>
        <v>457.92</v>
      </c>
      <c r="H240" s="115">
        <f t="shared" si="5"/>
        <v>347.68</v>
      </c>
    </row>
    <row r="241" spans="1:8" hidden="1" x14ac:dyDescent="0.2">
      <c r="A241" s="109">
        <v>25</v>
      </c>
      <c r="B241" s="113" t="s">
        <v>5</v>
      </c>
      <c r="C241" s="114">
        <f t="shared" si="5"/>
        <v>2285.36</v>
      </c>
      <c r="D241" s="114">
        <f t="shared" si="5"/>
        <v>1387.01</v>
      </c>
      <c r="E241" s="114">
        <f t="shared" si="5"/>
        <v>1003.2900000000001</v>
      </c>
      <c r="F241" s="114">
        <f t="shared" si="5"/>
        <v>718.15000000000009</v>
      </c>
      <c r="G241" s="114">
        <f t="shared" si="5"/>
        <v>507.74</v>
      </c>
      <c r="H241" s="115">
        <f t="shared" si="5"/>
        <v>385.31</v>
      </c>
    </row>
    <row r="242" spans="1:8" hidden="1" x14ac:dyDescent="0.2">
      <c r="A242" s="109">
        <v>30</v>
      </c>
      <c r="B242" s="113" t="s">
        <v>6</v>
      </c>
      <c r="C242" s="114">
        <f t="shared" si="5"/>
        <v>2383.4100000000003</v>
      </c>
      <c r="D242" s="114">
        <f t="shared" si="5"/>
        <v>1448.49</v>
      </c>
      <c r="E242" s="114">
        <f t="shared" si="5"/>
        <v>1074.8400000000001</v>
      </c>
      <c r="F242" s="114">
        <f t="shared" si="5"/>
        <v>805.6</v>
      </c>
      <c r="G242" s="114">
        <f t="shared" si="5"/>
        <v>615.86</v>
      </c>
      <c r="H242" s="115">
        <f t="shared" si="5"/>
        <v>468.52000000000004</v>
      </c>
    </row>
    <row r="243" spans="1:8" hidden="1" x14ac:dyDescent="0.2">
      <c r="A243" s="109">
        <v>35</v>
      </c>
      <c r="B243" s="113" t="s">
        <v>7</v>
      </c>
      <c r="C243" s="114">
        <f t="shared" si="5"/>
        <v>2665.9</v>
      </c>
      <c r="D243" s="114">
        <f t="shared" si="5"/>
        <v>1621.27</v>
      </c>
      <c r="E243" s="114">
        <f t="shared" si="5"/>
        <v>1203.6300000000001</v>
      </c>
      <c r="F243" s="114">
        <f t="shared" si="5"/>
        <v>903.12</v>
      </c>
      <c r="G243" s="114">
        <f t="shared" si="5"/>
        <v>691.12</v>
      </c>
      <c r="H243" s="115">
        <f t="shared" si="5"/>
        <v>525.23</v>
      </c>
    </row>
    <row r="244" spans="1:8" hidden="1" x14ac:dyDescent="0.2">
      <c r="A244" s="109">
        <v>40</v>
      </c>
      <c r="B244" s="113" t="s">
        <v>8</v>
      </c>
      <c r="C244" s="114">
        <f t="shared" si="5"/>
        <v>3020.4700000000003</v>
      </c>
      <c r="D244" s="114">
        <f t="shared" si="5"/>
        <v>1878.3200000000002</v>
      </c>
      <c r="E244" s="114">
        <f t="shared" si="5"/>
        <v>1319.7</v>
      </c>
      <c r="F244" s="114">
        <f t="shared" si="5"/>
        <v>1005.4100000000001</v>
      </c>
      <c r="G244" s="114">
        <f t="shared" si="5"/>
        <v>761.61</v>
      </c>
      <c r="H244" s="115">
        <f t="shared" si="5"/>
        <v>580.35</v>
      </c>
    </row>
    <row r="245" spans="1:8" hidden="1" x14ac:dyDescent="0.2">
      <c r="A245" s="109">
        <v>45</v>
      </c>
      <c r="B245" s="113" t="s">
        <v>9</v>
      </c>
      <c r="C245" s="114">
        <f t="shared" si="5"/>
        <v>3371.86</v>
      </c>
      <c r="D245" s="114">
        <f t="shared" si="5"/>
        <v>2099.86</v>
      </c>
      <c r="E245" s="114">
        <f t="shared" si="5"/>
        <v>1475.52</v>
      </c>
      <c r="F245" s="114">
        <f t="shared" si="5"/>
        <v>1124.1300000000001</v>
      </c>
      <c r="G245" s="114">
        <f t="shared" si="5"/>
        <v>851.18000000000006</v>
      </c>
      <c r="H245" s="115">
        <f t="shared" si="5"/>
        <v>649.78000000000009</v>
      </c>
    </row>
    <row r="246" spans="1:8" hidden="1" x14ac:dyDescent="0.2">
      <c r="A246" s="109">
        <v>50</v>
      </c>
      <c r="B246" s="113" t="s">
        <v>10</v>
      </c>
      <c r="C246" s="114">
        <f t="shared" si="5"/>
        <v>4452</v>
      </c>
      <c r="D246" s="114">
        <f t="shared" si="5"/>
        <v>2745.9300000000003</v>
      </c>
      <c r="E246" s="114">
        <f t="shared" si="5"/>
        <v>1947.75</v>
      </c>
      <c r="F246" s="114">
        <f t="shared" si="5"/>
        <v>1477.64</v>
      </c>
      <c r="G246" s="114">
        <f t="shared" si="5"/>
        <v>1217.4100000000001</v>
      </c>
      <c r="H246" s="115">
        <f t="shared" si="5"/>
        <v>928.56000000000006</v>
      </c>
    </row>
    <row r="247" spans="1:8" hidden="1" x14ac:dyDescent="0.2">
      <c r="A247" s="109">
        <v>55</v>
      </c>
      <c r="B247" s="113" t="s">
        <v>11</v>
      </c>
      <c r="C247" s="114">
        <f t="shared" si="5"/>
        <v>4735.0200000000004</v>
      </c>
      <c r="D247" s="114">
        <f t="shared" si="5"/>
        <v>2922.9500000000003</v>
      </c>
      <c r="E247" s="114">
        <f t="shared" si="5"/>
        <v>2072.3000000000002</v>
      </c>
      <c r="F247" s="114">
        <f t="shared" si="5"/>
        <v>1571.45</v>
      </c>
      <c r="G247" s="114">
        <f t="shared" si="5"/>
        <v>1295.3200000000002</v>
      </c>
      <c r="H247" s="115">
        <f t="shared" si="5"/>
        <v>988.45</v>
      </c>
    </row>
    <row r="248" spans="1:8" hidden="1" x14ac:dyDescent="0.2">
      <c r="A248" s="109">
        <v>60</v>
      </c>
      <c r="B248" s="113"/>
      <c r="C248" s="114">
        <f t="shared" si="5"/>
        <v>5026.5200000000004</v>
      </c>
      <c r="D248" s="114">
        <f t="shared" si="5"/>
        <v>3182.1200000000003</v>
      </c>
      <c r="E248" s="114">
        <f t="shared" si="5"/>
        <v>2250.38</v>
      </c>
      <c r="F248" s="114">
        <f t="shared" si="5"/>
        <v>1789.8100000000002</v>
      </c>
      <c r="G248" s="114">
        <f t="shared" si="5"/>
        <v>1541.24</v>
      </c>
      <c r="H248" s="115">
        <f t="shared" si="5"/>
        <v>1236.49</v>
      </c>
    </row>
    <row r="249" spans="1:8" hidden="1" x14ac:dyDescent="0.2">
      <c r="A249" s="109">
        <v>61</v>
      </c>
      <c r="B249" s="113"/>
      <c r="C249" s="114">
        <f t="shared" si="5"/>
        <v>5398.05</v>
      </c>
      <c r="D249" s="114">
        <f t="shared" si="5"/>
        <v>3419.56</v>
      </c>
      <c r="E249" s="114">
        <f t="shared" si="5"/>
        <v>2417.86</v>
      </c>
      <c r="F249" s="114">
        <f t="shared" si="5"/>
        <v>1922.3100000000002</v>
      </c>
      <c r="G249" s="114">
        <f t="shared" si="5"/>
        <v>1656.25</v>
      </c>
      <c r="H249" s="115">
        <f t="shared" si="5"/>
        <v>1328.71</v>
      </c>
    </row>
    <row r="250" spans="1:8" hidden="1" x14ac:dyDescent="0.2">
      <c r="A250" s="109">
        <v>62</v>
      </c>
      <c r="B250" s="113"/>
      <c r="C250" s="114">
        <f t="shared" ref="C250:H259" si="6">+C217*$L$2</f>
        <v>5907.38</v>
      </c>
      <c r="D250" s="114">
        <f t="shared" si="6"/>
        <v>3742.86</v>
      </c>
      <c r="E250" s="114">
        <f t="shared" si="6"/>
        <v>2648.4100000000003</v>
      </c>
      <c r="F250" s="114">
        <f t="shared" si="6"/>
        <v>2105.69</v>
      </c>
      <c r="G250" s="114">
        <f t="shared" si="6"/>
        <v>1813.66</v>
      </c>
      <c r="H250" s="115">
        <f t="shared" si="6"/>
        <v>1455.38</v>
      </c>
    </row>
    <row r="251" spans="1:8" hidden="1" x14ac:dyDescent="0.2">
      <c r="A251" s="109">
        <v>63</v>
      </c>
      <c r="B251" s="113"/>
      <c r="C251" s="114">
        <f t="shared" si="6"/>
        <v>6277.85</v>
      </c>
      <c r="D251" s="114">
        <f t="shared" si="6"/>
        <v>3980.3</v>
      </c>
      <c r="E251" s="114">
        <f t="shared" si="6"/>
        <v>2816.42</v>
      </c>
      <c r="F251" s="114">
        <f t="shared" si="6"/>
        <v>2238.7200000000003</v>
      </c>
      <c r="G251" s="114">
        <f t="shared" si="6"/>
        <v>1928.67</v>
      </c>
      <c r="H251" s="115">
        <f t="shared" si="6"/>
        <v>1547.6000000000001</v>
      </c>
    </row>
    <row r="252" spans="1:8" hidden="1" x14ac:dyDescent="0.2">
      <c r="A252" s="109">
        <v>64</v>
      </c>
      <c r="B252" s="113"/>
      <c r="C252" s="114">
        <f t="shared" si="6"/>
        <v>6788.77</v>
      </c>
      <c r="D252" s="114">
        <f t="shared" si="6"/>
        <v>4305.72</v>
      </c>
      <c r="E252" s="114">
        <f t="shared" si="6"/>
        <v>3046.9700000000003</v>
      </c>
      <c r="F252" s="114">
        <f t="shared" si="6"/>
        <v>2423.1600000000003</v>
      </c>
      <c r="G252" s="114">
        <f t="shared" si="6"/>
        <v>2086.61</v>
      </c>
      <c r="H252" s="115">
        <f t="shared" si="6"/>
        <v>1675.3300000000002</v>
      </c>
    </row>
    <row r="253" spans="1:8" hidden="1" x14ac:dyDescent="0.2">
      <c r="A253" s="109">
        <v>65</v>
      </c>
      <c r="B253" s="113"/>
      <c r="C253" s="114">
        <f t="shared" si="6"/>
        <v>7114.1900000000005</v>
      </c>
      <c r="D253" s="114">
        <f t="shared" si="6"/>
        <v>5628.6</v>
      </c>
      <c r="E253" s="114">
        <f t="shared" si="6"/>
        <v>3976.0600000000004</v>
      </c>
      <c r="F253" s="114">
        <f t="shared" si="6"/>
        <v>3064.9900000000002</v>
      </c>
      <c r="G253" s="114">
        <f t="shared" si="6"/>
        <v>2784.09</v>
      </c>
      <c r="H253" s="115">
        <f t="shared" si="6"/>
        <v>2362.7400000000002</v>
      </c>
    </row>
    <row r="254" spans="1:8" hidden="1" x14ac:dyDescent="0.2">
      <c r="A254" s="109">
        <v>66</v>
      </c>
      <c r="B254" s="113"/>
      <c r="C254" s="114">
        <f t="shared" si="6"/>
        <v>7437.4900000000007</v>
      </c>
      <c r="D254" s="114">
        <f t="shared" si="6"/>
        <v>6540.7300000000005</v>
      </c>
      <c r="E254" s="114">
        <f t="shared" si="6"/>
        <v>4619.4800000000005</v>
      </c>
      <c r="F254" s="114">
        <f t="shared" si="6"/>
        <v>3560.54</v>
      </c>
      <c r="G254" s="114">
        <f t="shared" si="6"/>
        <v>3235.65</v>
      </c>
      <c r="H254" s="115">
        <f t="shared" si="6"/>
        <v>2746.9900000000002</v>
      </c>
    </row>
    <row r="255" spans="1:8" hidden="1" x14ac:dyDescent="0.2">
      <c r="A255" s="109">
        <v>67</v>
      </c>
      <c r="B255" s="113"/>
      <c r="C255" s="114">
        <f t="shared" si="6"/>
        <v>8120.6600000000008</v>
      </c>
      <c r="D255" s="114">
        <f t="shared" si="6"/>
        <v>7144.93</v>
      </c>
      <c r="E255" s="114">
        <f t="shared" si="6"/>
        <v>5046.13</v>
      </c>
      <c r="F255" s="114">
        <f t="shared" si="6"/>
        <v>3889.1400000000003</v>
      </c>
      <c r="G255" s="114">
        <f t="shared" si="6"/>
        <v>3534.04</v>
      </c>
      <c r="H255" s="115">
        <f t="shared" si="6"/>
        <v>3000.86</v>
      </c>
    </row>
    <row r="256" spans="1:8" hidden="1" x14ac:dyDescent="0.2">
      <c r="A256" s="109">
        <v>68</v>
      </c>
      <c r="B256" s="113"/>
      <c r="C256" s="114">
        <f t="shared" si="6"/>
        <v>8989.33</v>
      </c>
      <c r="D256" s="114">
        <f t="shared" si="6"/>
        <v>7911.31</v>
      </c>
      <c r="E256" s="114">
        <f t="shared" si="6"/>
        <v>5587.79</v>
      </c>
      <c r="F256" s="114">
        <f t="shared" si="6"/>
        <v>4307.3100000000004</v>
      </c>
      <c r="G256" s="114">
        <f t="shared" si="6"/>
        <v>3915.11</v>
      </c>
      <c r="H256" s="115">
        <f t="shared" si="6"/>
        <v>3323.63</v>
      </c>
    </row>
    <row r="257" spans="1:8" hidden="1" x14ac:dyDescent="0.2">
      <c r="A257" s="109">
        <v>69</v>
      </c>
      <c r="B257" s="113"/>
      <c r="C257" s="114">
        <f t="shared" si="6"/>
        <v>9887.68</v>
      </c>
      <c r="D257" s="114">
        <f t="shared" si="6"/>
        <v>8704.7200000000012</v>
      </c>
      <c r="E257" s="114">
        <f t="shared" si="6"/>
        <v>6148</v>
      </c>
      <c r="F257" s="114">
        <f t="shared" si="6"/>
        <v>4738.7300000000005</v>
      </c>
      <c r="G257" s="114">
        <f t="shared" si="6"/>
        <v>4307.3100000000004</v>
      </c>
      <c r="H257" s="115">
        <f t="shared" si="6"/>
        <v>3657</v>
      </c>
    </row>
    <row r="258" spans="1:8" hidden="1" x14ac:dyDescent="0.2">
      <c r="A258" s="109">
        <v>70</v>
      </c>
      <c r="B258" s="113"/>
      <c r="C258" s="114">
        <f t="shared" si="6"/>
        <v>11702.93</v>
      </c>
      <c r="D258" s="114">
        <f t="shared" si="6"/>
        <v>10714.480000000001</v>
      </c>
      <c r="E258" s="114">
        <f t="shared" si="6"/>
        <v>7486.25</v>
      </c>
      <c r="F258" s="114">
        <f t="shared" si="6"/>
        <v>5578.7800000000007</v>
      </c>
      <c r="G258" s="114">
        <f t="shared" si="6"/>
        <v>5019.1000000000004</v>
      </c>
      <c r="H258" s="115">
        <f t="shared" si="6"/>
        <v>4302.01</v>
      </c>
    </row>
    <row r="259" spans="1:8" hidden="1" x14ac:dyDescent="0.2">
      <c r="A259" s="109">
        <v>71</v>
      </c>
      <c r="B259" s="113"/>
      <c r="C259" s="114">
        <f t="shared" si="6"/>
        <v>12159.79</v>
      </c>
      <c r="D259" s="114">
        <f t="shared" si="6"/>
        <v>11134.77</v>
      </c>
      <c r="E259" s="114">
        <f t="shared" si="6"/>
        <v>7780.93</v>
      </c>
      <c r="F259" s="114">
        <f t="shared" si="6"/>
        <v>5798.2000000000007</v>
      </c>
      <c r="G259" s="114">
        <f t="shared" si="6"/>
        <v>5217.3200000000006</v>
      </c>
      <c r="H259" s="115">
        <f t="shared" si="6"/>
        <v>4471.08</v>
      </c>
    </row>
    <row r="260" spans="1:8" hidden="1" x14ac:dyDescent="0.2">
      <c r="A260" s="109">
        <v>72</v>
      </c>
      <c r="B260" s="113"/>
      <c r="C260" s="114">
        <f t="shared" ref="C260:H268" si="7">+C227*$L$2</f>
        <v>12503.76</v>
      </c>
      <c r="D260" s="114">
        <f t="shared" si="7"/>
        <v>11449.59</v>
      </c>
      <c r="E260" s="114">
        <f t="shared" si="7"/>
        <v>8001.4100000000008</v>
      </c>
      <c r="F260" s="114">
        <f t="shared" si="7"/>
        <v>5962.5</v>
      </c>
      <c r="G260" s="114">
        <f t="shared" si="7"/>
        <v>5365.1900000000005</v>
      </c>
      <c r="H260" s="115">
        <f t="shared" si="7"/>
        <v>4598.2800000000007</v>
      </c>
    </row>
    <row r="261" spans="1:8" hidden="1" x14ac:dyDescent="0.2">
      <c r="A261" s="109">
        <v>73</v>
      </c>
      <c r="B261" s="113"/>
      <c r="C261" s="114">
        <f t="shared" si="7"/>
        <v>12962.210000000001</v>
      </c>
      <c r="D261" s="114">
        <f t="shared" si="7"/>
        <v>11870.94</v>
      </c>
      <c r="E261" s="114">
        <f t="shared" si="7"/>
        <v>8295.0300000000007</v>
      </c>
      <c r="F261" s="114">
        <f t="shared" si="7"/>
        <v>6182.4500000000007</v>
      </c>
      <c r="G261" s="114">
        <f t="shared" si="7"/>
        <v>5561.29</v>
      </c>
      <c r="H261" s="115">
        <f t="shared" si="7"/>
        <v>4767.88</v>
      </c>
    </row>
    <row r="262" spans="1:8" hidden="1" x14ac:dyDescent="0.2">
      <c r="A262" s="109">
        <v>74</v>
      </c>
      <c r="B262" s="113"/>
      <c r="C262" s="114">
        <f t="shared" si="7"/>
        <v>13191.7</v>
      </c>
      <c r="D262" s="114">
        <f t="shared" si="7"/>
        <v>12081.35</v>
      </c>
      <c r="E262" s="114">
        <f t="shared" si="7"/>
        <v>8441.84</v>
      </c>
      <c r="F262" s="114">
        <f t="shared" si="7"/>
        <v>6290.5700000000006</v>
      </c>
      <c r="G262" s="114">
        <f t="shared" si="7"/>
        <v>5660.4000000000005</v>
      </c>
      <c r="H262" s="115">
        <f t="shared" si="7"/>
        <v>4852.1500000000005</v>
      </c>
    </row>
    <row r="263" spans="1:8" hidden="1" x14ac:dyDescent="0.2">
      <c r="A263" s="109">
        <v>75</v>
      </c>
      <c r="B263" s="113" t="s">
        <v>12</v>
      </c>
      <c r="C263" s="114">
        <f t="shared" si="7"/>
        <v>13764.1</v>
      </c>
      <c r="D263" s="114">
        <f t="shared" si="7"/>
        <v>12607.11</v>
      </c>
      <c r="E263" s="114">
        <f t="shared" si="7"/>
        <v>8809.130000000001</v>
      </c>
      <c r="F263" s="114">
        <f t="shared" si="7"/>
        <v>6564.05</v>
      </c>
      <c r="G263" s="114">
        <f t="shared" si="7"/>
        <v>5907.91</v>
      </c>
      <c r="H263" s="115">
        <f t="shared" si="7"/>
        <v>5062.5600000000004</v>
      </c>
    </row>
    <row r="264" spans="1:8" hidden="1" x14ac:dyDescent="0.2">
      <c r="A264" s="109">
        <v>1</v>
      </c>
      <c r="B264" s="113" t="s">
        <v>13</v>
      </c>
      <c r="C264" s="114">
        <f t="shared" si="7"/>
        <v>739.35</v>
      </c>
      <c r="D264" s="114">
        <f t="shared" si="7"/>
        <v>459.51000000000005</v>
      </c>
      <c r="E264" s="114">
        <f t="shared" si="7"/>
        <v>334.96000000000004</v>
      </c>
      <c r="F264" s="114">
        <f t="shared" si="7"/>
        <v>264.47000000000003</v>
      </c>
      <c r="G264" s="114">
        <f t="shared" si="7"/>
        <v>223.13000000000002</v>
      </c>
      <c r="H264" s="115">
        <f t="shared" si="7"/>
        <v>165.89000000000001</v>
      </c>
    </row>
    <row r="265" spans="1:8" hidden="1" x14ac:dyDescent="0.2">
      <c r="A265" s="109">
        <v>2</v>
      </c>
      <c r="B265" s="113" t="s">
        <v>1</v>
      </c>
      <c r="C265" s="114">
        <f t="shared" si="7"/>
        <v>1159.1100000000001</v>
      </c>
      <c r="D265" s="114">
        <f t="shared" si="7"/>
        <v>730.87</v>
      </c>
      <c r="E265" s="114">
        <f t="shared" si="7"/>
        <v>534.77</v>
      </c>
      <c r="F265" s="114">
        <f t="shared" si="7"/>
        <v>421.35</v>
      </c>
      <c r="G265" s="114">
        <f t="shared" si="7"/>
        <v>354.57</v>
      </c>
      <c r="H265" s="115">
        <f t="shared" si="7"/>
        <v>263.94</v>
      </c>
    </row>
    <row r="266" spans="1:8" hidden="1" x14ac:dyDescent="0.2">
      <c r="A266" s="109">
        <v>3</v>
      </c>
      <c r="B266" s="113" t="s">
        <v>14</v>
      </c>
      <c r="C266" s="114">
        <f t="shared" si="7"/>
        <v>1684.8700000000001</v>
      </c>
      <c r="D266" s="114">
        <f t="shared" si="7"/>
        <v>1072.19</v>
      </c>
      <c r="E266" s="114">
        <f t="shared" si="7"/>
        <v>783.87</v>
      </c>
      <c r="F266" s="114">
        <f t="shared" si="7"/>
        <v>617.98</v>
      </c>
      <c r="G266" s="114">
        <f t="shared" si="7"/>
        <v>520.99</v>
      </c>
      <c r="H266" s="115">
        <f t="shared" si="7"/>
        <v>385.31</v>
      </c>
    </row>
    <row r="267" spans="1:8" hidden="1" x14ac:dyDescent="0.2">
      <c r="A267" s="109">
        <v>1</v>
      </c>
      <c r="B267" s="113" t="s">
        <v>3</v>
      </c>
      <c r="C267" s="114">
        <f t="shared" si="7"/>
        <v>0</v>
      </c>
      <c r="D267" s="114">
        <f t="shared" si="7"/>
        <v>0</v>
      </c>
      <c r="E267" s="114">
        <f t="shared" si="7"/>
        <v>0</v>
      </c>
      <c r="F267" s="114">
        <f t="shared" si="7"/>
        <v>119.25</v>
      </c>
      <c r="G267" s="114">
        <f t="shared" si="7"/>
        <v>119.25</v>
      </c>
      <c r="H267" s="115">
        <f t="shared" si="7"/>
        <v>119.25</v>
      </c>
    </row>
    <row r="268" spans="1:8" ht="13.5" hidden="1" thickBot="1" x14ac:dyDescent="0.25">
      <c r="A268" s="119">
        <v>1</v>
      </c>
      <c r="B268" s="120" t="s">
        <v>2</v>
      </c>
      <c r="C268" s="121">
        <f t="shared" si="7"/>
        <v>0</v>
      </c>
      <c r="D268" s="121">
        <f t="shared" si="7"/>
        <v>0</v>
      </c>
      <c r="E268" s="121">
        <f t="shared" si="7"/>
        <v>0</v>
      </c>
      <c r="F268" s="121">
        <f t="shared" si="7"/>
        <v>0</v>
      </c>
      <c r="G268" s="121">
        <f t="shared" si="7"/>
        <v>0</v>
      </c>
      <c r="H268" s="122">
        <f t="shared" si="7"/>
        <v>0</v>
      </c>
    </row>
    <row r="269" spans="1:8" ht="13.5" hidden="1" thickBot="1" x14ac:dyDescent="0.25"/>
    <row r="270" spans="1:8" ht="18" hidden="1" x14ac:dyDescent="0.25">
      <c r="A270" s="322" t="s">
        <v>249</v>
      </c>
      <c r="B270" s="323"/>
      <c r="C270" s="323"/>
      <c r="D270" s="323"/>
      <c r="E270" s="323"/>
      <c r="F270" s="323"/>
      <c r="G270" s="323"/>
      <c r="H270" s="324"/>
    </row>
    <row r="271" spans="1:8" ht="18" hidden="1" x14ac:dyDescent="0.25">
      <c r="A271" s="325" t="s">
        <v>28</v>
      </c>
      <c r="B271" s="326"/>
      <c r="C271" s="326"/>
      <c r="D271" s="326"/>
      <c r="E271" s="326"/>
      <c r="F271" s="326"/>
      <c r="G271" s="326"/>
      <c r="H271" s="327"/>
    </row>
    <row r="272" spans="1:8" hidden="1" x14ac:dyDescent="0.2">
      <c r="A272" s="328" t="s">
        <v>0</v>
      </c>
      <c r="B272" s="329"/>
      <c r="C272" s="329"/>
      <c r="D272" s="329"/>
      <c r="E272" s="329"/>
      <c r="F272" s="329"/>
      <c r="G272" s="329"/>
      <c r="H272" s="90"/>
    </row>
    <row r="273" spans="1:15" hidden="1" x14ac:dyDescent="0.2">
      <c r="A273" s="91" t="s">
        <v>4</v>
      </c>
      <c r="B273" s="92" t="s">
        <v>4</v>
      </c>
      <c r="C273" s="155" t="s">
        <v>56</v>
      </c>
      <c r="D273" s="154" t="s">
        <v>57</v>
      </c>
      <c r="E273" s="154" t="s">
        <v>58</v>
      </c>
      <c r="F273" s="154" t="s">
        <v>59</v>
      </c>
      <c r="G273" s="154" t="s">
        <v>60</v>
      </c>
      <c r="H273" s="90" t="s">
        <v>61</v>
      </c>
    </row>
    <row r="274" spans="1:15" ht="15" hidden="1" x14ac:dyDescent="0.2">
      <c r="A274" s="91">
        <v>18</v>
      </c>
      <c r="B274" s="93"/>
      <c r="C274" s="114">
        <v>3132</v>
      </c>
      <c r="D274" s="159">
        <v>2811</v>
      </c>
      <c r="E274" s="159">
        <v>2095</v>
      </c>
      <c r="F274" s="159">
        <v>1559</v>
      </c>
      <c r="G274" s="159">
        <v>1201</v>
      </c>
      <c r="H274" s="161">
        <v>945</v>
      </c>
      <c r="J274" s="107"/>
      <c r="K274" s="107"/>
      <c r="L274" s="107"/>
      <c r="M274" s="107"/>
      <c r="N274" s="107"/>
      <c r="O274" s="107"/>
    </row>
    <row r="275" spans="1:15" ht="15" hidden="1" x14ac:dyDescent="0.2">
      <c r="A275" s="91">
        <v>19</v>
      </c>
      <c r="B275" s="93"/>
      <c r="C275" s="114">
        <v>3502</v>
      </c>
      <c r="D275" s="159">
        <v>2836</v>
      </c>
      <c r="E275" s="159">
        <v>2121</v>
      </c>
      <c r="F275" s="159">
        <v>1584</v>
      </c>
      <c r="G275" s="159">
        <v>1226</v>
      </c>
      <c r="H275" s="161">
        <v>971</v>
      </c>
      <c r="J275" s="107"/>
      <c r="K275" s="107"/>
      <c r="L275" s="107"/>
      <c r="M275" s="107"/>
      <c r="N275" s="107"/>
      <c r="O275" s="107"/>
    </row>
    <row r="276" spans="1:15" ht="15" hidden="1" x14ac:dyDescent="0.2">
      <c r="A276" s="91">
        <v>20</v>
      </c>
      <c r="B276" s="93"/>
      <c r="C276" s="114">
        <v>4091</v>
      </c>
      <c r="D276" s="159">
        <v>2887</v>
      </c>
      <c r="E276" s="159">
        <v>2172</v>
      </c>
      <c r="F276" s="159">
        <v>1610</v>
      </c>
      <c r="G276" s="159">
        <v>1252</v>
      </c>
      <c r="H276" s="161">
        <v>996</v>
      </c>
      <c r="J276" s="107"/>
      <c r="K276" s="107"/>
      <c r="L276" s="107"/>
      <c r="M276" s="107"/>
      <c r="N276" s="107"/>
      <c r="O276" s="107"/>
    </row>
    <row r="277" spans="1:15" ht="15" hidden="1" x14ac:dyDescent="0.2">
      <c r="A277" s="91">
        <v>21</v>
      </c>
      <c r="B277" s="93"/>
      <c r="C277" s="114">
        <v>4618</v>
      </c>
      <c r="D277" s="159">
        <v>2938</v>
      </c>
      <c r="E277" s="159">
        <v>2223</v>
      </c>
      <c r="F277" s="159">
        <v>1661</v>
      </c>
      <c r="G277" s="159">
        <v>1252</v>
      </c>
      <c r="H277" s="161">
        <v>996</v>
      </c>
      <c r="J277" s="107"/>
      <c r="K277" s="107"/>
      <c r="L277" s="107"/>
      <c r="M277" s="107"/>
      <c r="N277" s="107"/>
      <c r="O277" s="107"/>
    </row>
    <row r="278" spans="1:15" ht="15" hidden="1" x14ac:dyDescent="0.2">
      <c r="A278" s="91">
        <v>22</v>
      </c>
      <c r="B278" s="93"/>
      <c r="C278" s="114">
        <v>5229</v>
      </c>
      <c r="D278" s="159">
        <v>2989</v>
      </c>
      <c r="E278" s="159">
        <v>2248</v>
      </c>
      <c r="F278" s="159">
        <v>1686</v>
      </c>
      <c r="G278" s="159">
        <v>1278</v>
      </c>
      <c r="H278" s="161">
        <v>1022</v>
      </c>
      <c r="J278" s="107"/>
      <c r="K278" s="107"/>
      <c r="L278" s="107"/>
      <c r="M278" s="107"/>
      <c r="N278" s="107"/>
      <c r="O278" s="107"/>
    </row>
    <row r="279" spans="1:15" ht="15" hidden="1" x14ac:dyDescent="0.2">
      <c r="A279" s="91">
        <v>23</v>
      </c>
      <c r="B279" s="93"/>
      <c r="C279" s="114">
        <v>6039</v>
      </c>
      <c r="D279" s="159">
        <v>3066</v>
      </c>
      <c r="E279" s="159">
        <v>2300</v>
      </c>
      <c r="F279" s="159">
        <v>1712</v>
      </c>
      <c r="G279" s="159">
        <v>1303</v>
      </c>
      <c r="H279" s="161">
        <v>1048</v>
      </c>
      <c r="J279" s="107"/>
      <c r="K279" s="107"/>
      <c r="L279" s="107"/>
      <c r="M279" s="107"/>
      <c r="N279" s="107"/>
      <c r="O279" s="107"/>
    </row>
    <row r="280" spans="1:15" ht="15" hidden="1" x14ac:dyDescent="0.2">
      <c r="A280" s="91">
        <v>24</v>
      </c>
      <c r="B280" s="93"/>
      <c r="C280" s="114">
        <v>6835</v>
      </c>
      <c r="D280" s="159">
        <v>3117</v>
      </c>
      <c r="E280" s="159">
        <v>2351</v>
      </c>
      <c r="F280" s="159">
        <v>1737</v>
      </c>
      <c r="G280" s="159">
        <v>1329</v>
      </c>
      <c r="H280" s="161">
        <v>1048</v>
      </c>
      <c r="J280" s="107"/>
      <c r="K280" s="107"/>
      <c r="L280" s="107"/>
      <c r="M280" s="107"/>
      <c r="N280" s="107"/>
      <c r="O280" s="107"/>
    </row>
    <row r="281" spans="1:15" ht="15" hidden="1" x14ac:dyDescent="0.2">
      <c r="A281" s="91">
        <v>25</v>
      </c>
      <c r="B281" s="93"/>
      <c r="C281" s="114">
        <v>7918</v>
      </c>
      <c r="D281" s="159">
        <v>3168</v>
      </c>
      <c r="E281" s="159">
        <v>2376</v>
      </c>
      <c r="F281" s="159">
        <v>1763</v>
      </c>
      <c r="G281" s="159">
        <v>1354</v>
      </c>
      <c r="H281" s="161">
        <v>1073</v>
      </c>
      <c r="J281" s="107"/>
      <c r="K281" s="107"/>
      <c r="L281" s="107"/>
      <c r="M281" s="107"/>
      <c r="N281" s="107"/>
      <c r="O281" s="107"/>
    </row>
    <row r="282" spans="1:15" ht="15" hidden="1" x14ac:dyDescent="0.2">
      <c r="A282" s="91">
        <v>26</v>
      </c>
      <c r="B282" s="93"/>
      <c r="C282" s="114">
        <v>8425</v>
      </c>
      <c r="D282" s="159">
        <v>3219</v>
      </c>
      <c r="E282" s="159">
        <v>2427</v>
      </c>
      <c r="F282" s="159">
        <v>1814</v>
      </c>
      <c r="G282" s="159">
        <v>1380</v>
      </c>
      <c r="H282" s="161">
        <v>1099</v>
      </c>
      <c r="J282" s="107"/>
      <c r="K282" s="107"/>
      <c r="L282" s="107"/>
      <c r="M282" s="107"/>
      <c r="N282" s="107"/>
      <c r="O282" s="107"/>
    </row>
    <row r="283" spans="1:15" ht="15" hidden="1" x14ac:dyDescent="0.2">
      <c r="A283" s="91">
        <v>27</v>
      </c>
      <c r="B283" s="93"/>
      <c r="C283" s="114">
        <v>9480</v>
      </c>
      <c r="D283" s="159">
        <v>3270</v>
      </c>
      <c r="E283" s="159">
        <v>2478</v>
      </c>
      <c r="F283" s="159">
        <v>1840</v>
      </c>
      <c r="G283" s="159">
        <v>1405</v>
      </c>
      <c r="H283" s="161">
        <v>1124</v>
      </c>
      <c r="J283" s="107"/>
      <c r="K283" s="107"/>
      <c r="L283" s="107"/>
      <c r="M283" s="107"/>
      <c r="N283" s="107"/>
      <c r="O283" s="107"/>
    </row>
    <row r="284" spans="1:15" ht="15" hidden="1" x14ac:dyDescent="0.2">
      <c r="A284" s="91">
        <v>28</v>
      </c>
      <c r="B284" s="93"/>
      <c r="C284" s="114">
        <v>10535</v>
      </c>
      <c r="D284" s="159">
        <v>3322</v>
      </c>
      <c r="E284" s="159">
        <v>2530</v>
      </c>
      <c r="F284" s="159">
        <v>1891</v>
      </c>
      <c r="G284" s="159">
        <v>1456</v>
      </c>
      <c r="H284" s="161">
        <v>1124</v>
      </c>
      <c r="J284" s="107"/>
      <c r="K284" s="107"/>
      <c r="L284" s="107"/>
      <c r="M284" s="107"/>
      <c r="N284" s="107"/>
      <c r="O284" s="107"/>
    </row>
    <row r="285" spans="1:15" ht="15" hidden="1" x14ac:dyDescent="0.2">
      <c r="A285" s="91">
        <v>29</v>
      </c>
      <c r="B285" s="93"/>
      <c r="C285" s="114">
        <v>11593</v>
      </c>
      <c r="D285" s="159">
        <v>3398</v>
      </c>
      <c r="E285" s="159">
        <v>2581</v>
      </c>
      <c r="F285" s="159">
        <v>1916</v>
      </c>
      <c r="G285" s="159">
        <v>1482</v>
      </c>
      <c r="H285" s="161">
        <v>1150</v>
      </c>
      <c r="J285" s="107"/>
      <c r="K285" s="107"/>
      <c r="L285" s="107"/>
      <c r="M285" s="107"/>
      <c r="N285" s="107"/>
      <c r="O285" s="107"/>
    </row>
    <row r="286" spans="1:15" ht="15" hidden="1" x14ac:dyDescent="0.2">
      <c r="A286" s="91">
        <v>30</v>
      </c>
      <c r="B286" s="93"/>
      <c r="C286" s="114">
        <v>12648</v>
      </c>
      <c r="D286" s="159">
        <v>3475</v>
      </c>
      <c r="E286" s="159">
        <v>2657</v>
      </c>
      <c r="F286" s="159">
        <v>1967</v>
      </c>
      <c r="G286" s="159">
        <v>1507</v>
      </c>
      <c r="H286" s="161">
        <v>1175</v>
      </c>
      <c r="J286" s="107"/>
      <c r="K286" s="107"/>
      <c r="L286" s="107"/>
      <c r="M286" s="107"/>
      <c r="N286" s="107"/>
      <c r="O286" s="107"/>
    </row>
    <row r="287" spans="1:15" ht="15" hidden="1" x14ac:dyDescent="0.2">
      <c r="A287" s="91">
        <v>31</v>
      </c>
      <c r="B287" s="93"/>
      <c r="C287" s="114">
        <v>13893</v>
      </c>
      <c r="D287" s="159">
        <v>3526</v>
      </c>
      <c r="E287" s="159">
        <v>2708</v>
      </c>
      <c r="F287" s="159">
        <v>2019</v>
      </c>
      <c r="G287" s="159">
        <v>1559</v>
      </c>
      <c r="H287" s="161">
        <v>1201</v>
      </c>
      <c r="J287" s="107"/>
      <c r="K287" s="107"/>
      <c r="L287" s="107"/>
      <c r="M287" s="107"/>
      <c r="N287" s="107"/>
      <c r="O287" s="107"/>
    </row>
    <row r="288" spans="1:15" ht="15" hidden="1" x14ac:dyDescent="0.2">
      <c r="A288" s="91">
        <v>32</v>
      </c>
      <c r="B288" s="93"/>
      <c r="C288" s="114">
        <v>14710</v>
      </c>
      <c r="D288" s="159">
        <v>3603</v>
      </c>
      <c r="E288" s="159">
        <v>2759</v>
      </c>
      <c r="F288" s="159">
        <v>2070</v>
      </c>
      <c r="G288" s="159">
        <v>1584</v>
      </c>
      <c r="H288" s="161">
        <v>1226</v>
      </c>
      <c r="J288" s="107"/>
      <c r="K288" s="107"/>
      <c r="L288" s="107"/>
      <c r="M288" s="107"/>
      <c r="N288" s="107"/>
      <c r="O288" s="107"/>
    </row>
    <row r="289" spans="1:15" ht="15" hidden="1" x14ac:dyDescent="0.2">
      <c r="A289" s="91">
        <v>33</v>
      </c>
      <c r="B289" s="93"/>
      <c r="C289" s="114">
        <v>16346</v>
      </c>
      <c r="D289" s="159">
        <v>3679</v>
      </c>
      <c r="E289" s="159">
        <v>2836</v>
      </c>
      <c r="F289" s="159">
        <v>2121</v>
      </c>
      <c r="G289" s="159">
        <v>1635</v>
      </c>
      <c r="H289" s="161">
        <v>1252</v>
      </c>
      <c r="J289" s="107"/>
      <c r="K289" s="107"/>
      <c r="L289" s="107"/>
      <c r="M289" s="107"/>
      <c r="N289" s="107"/>
      <c r="O289" s="107"/>
    </row>
    <row r="290" spans="1:15" ht="15" hidden="1" x14ac:dyDescent="0.2">
      <c r="A290" s="91">
        <v>34</v>
      </c>
      <c r="B290" s="93"/>
      <c r="C290" s="114">
        <v>17983</v>
      </c>
      <c r="D290" s="159">
        <v>3781</v>
      </c>
      <c r="E290" s="159">
        <v>2913</v>
      </c>
      <c r="F290" s="159">
        <v>2197</v>
      </c>
      <c r="G290" s="159">
        <v>1686</v>
      </c>
      <c r="H290" s="161">
        <v>1278</v>
      </c>
      <c r="J290" s="107"/>
      <c r="K290" s="107"/>
      <c r="L290" s="107"/>
      <c r="M290" s="107"/>
      <c r="N290" s="107"/>
      <c r="O290" s="107"/>
    </row>
    <row r="291" spans="1:15" ht="15" hidden="1" x14ac:dyDescent="0.2">
      <c r="A291" s="91">
        <v>35</v>
      </c>
      <c r="B291" s="93"/>
      <c r="C291" s="114">
        <v>18801</v>
      </c>
      <c r="D291" s="159">
        <v>3858</v>
      </c>
      <c r="E291" s="159">
        <v>2989</v>
      </c>
      <c r="F291" s="159">
        <v>2274</v>
      </c>
      <c r="G291" s="159">
        <v>1737</v>
      </c>
      <c r="H291" s="161">
        <v>1303</v>
      </c>
      <c r="J291" s="107"/>
      <c r="K291" s="107"/>
      <c r="L291" s="107"/>
      <c r="M291" s="107"/>
      <c r="N291" s="107"/>
      <c r="O291" s="107"/>
    </row>
    <row r="292" spans="1:15" ht="15" hidden="1" x14ac:dyDescent="0.2">
      <c r="A292" s="91">
        <v>36</v>
      </c>
      <c r="B292" s="93"/>
      <c r="C292" s="114">
        <v>19200</v>
      </c>
      <c r="D292" s="159">
        <v>3960</v>
      </c>
      <c r="E292" s="159">
        <v>3066</v>
      </c>
      <c r="F292" s="159">
        <v>2325</v>
      </c>
      <c r="G292" s="159">
        <v>1789</v>
      </c>
      <c r="H292" s="161">
        <v>1329</v>
      </c>
      <c r="J292" s="107"/>
      <c r="K292" s="107"/>
      <c r="L292" s="107"/>
      <c r="M292" s="107"/>
      <c r="N292" s="107"/>
      <c r="O292" s="107"/>
    </row>
    <row r="293" spans="1:15" ht="15" hidden="1" x14ac:dyDescent="0.2">
      <c r="A293" s="91">
        <v>37</v>
      </c>
      <c r="B293" s="93"/>
      <c r="C293" s="114">
        <v>21603</v>
      </c>
      <c r="D293" s="159">
        <v>4037</v>
      </c>
      <c r="E293" s="159">
        <v>3143</v>
      </c>
      <c r="F293" s="159">
        <v>2402</v>
      </c>
      <c r="G293" s="159">
        <v>1840</v>
      </c>
      <c r="H293" s="161">
        <v>1354</v>
      </c>
      <c r="J293" s="107"/>
      <c r="K293" s="107"/>
      <c r="L293" s="107"/>
      <c r="M293" s="107"/>
      <c r="N293" s="107"/>
      <c r="O293" s="107"/>
    </row>
    <row r="294" spans="1:15" ht="15" hidden="1" x14ac:dyDescent="0.2">
      <c r="A294" s="91">
        <v>38</v>
      </c>
      <c r="B294" s="93"/>
      <c r="C294" s="114">
        <v>24005</v>
      </c>
      <c r="D294" s="159">
        <v>4139</v>
      </c>
      <c r="E294" s="159">
        <v>3219</v>
      </c>
      <c r="F294" s="159">
        <v>2478</v>
      </c>
      <c r="G294" s="159">
        <v>1891</v>
      </c>
      <c r="H294" s="161">
        <v>1405</v>
      </c>
      <c r="J294" s="107"/>
      <c r="K294" s="107"/>
      <c r="L294" s="107"/>
      <c r="M294" s="107"/>
      <c r="N294" s="107"/>
      <c r="O294" s="107"/>
    </row>
    <row r="295" spans="1:15" ht="15" hidden="1" x14ac:dyDescent="0.2">
      <c r="A295" s="91">
        <v>39</v>
      </c>
      <c r="B295" s="93"/>
      <c r="C295" s="114">
        <v>26407</v>
      </c>
      <c r="D295" s="159">
        <v>4241</v>
      </c>
      <c r="E295" s="159">
        <v>3322</v>
      </c>
      <c r="F295" s="159">
        <v>2555</v>
      </c>
      <c r="G295" s="159">
        <v>1942</v>
      </c>
      <c r="H295" s="161">
        <v>1431</v>
      </c>
      <c r="J295" s="107"/>
      <c r="K295" s="107"/>
      <c r="L295" s="107"/>
      <c r="M295" s="107"/>
      <c r="N295" s="107"/>
      <c r="O295" s="107"/>
    </row>
    <row r="296" spans="1:15" ht="15" hidden="1" x14ac:dyDescent="0.2">
      <c r="A296" s="91">
        <v>40</v>
      </c>
      <c r="B296" s="93"/>
      <c r="C296" s="114">
        <v>28808</v>
      </c>
      <c r="D296" s="159">
        <v>4344</v>
      </c>
      <c r="E296" s="159">
        <v>3424</v>
      </c>
      <c r="F296" s="159">
        <v>2632</v>
      </c>
      <c r="G296" s="159">
        <v>2019</v>
      </c>
      <c r="H296" s="161">
        <v>1456</v>
      </c>
      <c r="J296" s="107"/>
      <c r="K296" s="107"/>
      <c r="L296" s="107"/>
      <c r="M296" s="107"/>
      <c r="N296" s="107"/>
      <c r="O296" s="107"/>
    </row>
    <row r="297" spans="1:15" ht="15" hidden="1" x14ac:dyDescent="0.2">
      <c r="A297" s="91">
        <v>41</v>
      </c>
      <c r="B297" s="93"/>
      <c r="C297" s="114">
        <v>31456</v>
      </c>
      <c r="D297" s="159">
        <v>4471</v>
      </c>
      <c r="E297" s="159">
        <v>3500</v>
      </c>
      <c r="F297" s="159">
        <v>2734</v>
      </c>
      <c r="G297" s="159">
        <v>2070</v>
      </c>
      <c r="H297" s="161">
        <v>1482</v>
      </c>
      <c r="J297" s="107"/>
      <c r="K297" s="107"/>
      <c r="L297" s="107"/>
      <c r="M297" s="107"/>
      <c r="N297" s="107"/>
      <c r="O297" s="107"/>
    </row>
    <row r="298" spans="1:15" ht="15" hidden="1" x14ac:dyDescent="0.2">
      <c r="A298" s="91">
        <v>42</v>
      </c>
      <c r="B298" s="93"/>
      <c r="C298" s="114"/>
      <c r="D298" s="159">
        <v>4574</v>
      </c>
      <c r="E298" s="159">
        <v>3603</v>
      </c>
      <c r="F298" s="159">
        <v>2811</v>
      </c>
      <c r="G298" s="159">
        <v>2146</v>
      </c>
      <c r="H298" s="161">
        <v>1533</v>
      </c>
      <c r="J298" s="107"/>
      <c r="K298" s="107"/>
      <c r="L298" s="107"/>
      <c r="M298" s="107"/>
      <c r="N298" s="107"/>
      <c r="O298" s="107"/>
    </row>
    <row r="299" spans="1:15" ht="15" hidden="1" x14ac:dyDescent="0.2">
      <c r="A299" s="91">
        <v>43</v>
      </c>
      <c r="B299" s="93"/>
      <c r="C299" s="114"/>
      <c r="D299" s="159">
        <v>4701</v>
      </c>
      <c r="E299" s="159">
        <v>3705</v>
      </c>
      <c r="F299" s="159">
        <v>2913</v>
      </c>
      <c r="G299" s="159">
        <v>2223</v>
      </c>
      <c r="H299" s="161">
        <v>1559</v>
      </c>
      <c r="J299" s="107"/>
      <c r="K299" s="107"/>
      <c r="L299" s="107"/>
      <c r="M299" s="107"/>
      <c r="N299" s="107"/>
      <c r="O299" s="107"/>
    </row>
    <row r="300" spans="1:15" ht="15" hidden="1" x14ac:dyDescent="0.2">
      <c r="A300" s="91">
        <v>44</v>
      </c>
      <c r="B300" s="93"/>
      <c r="C300" s="114"/>
      <c r="D300" s="159">
        <v>4829</v>
      </c>
      <c r="E300" s="159">
        <v>3833</v>
      </c>
      <c r="F300" s="159">
        <v>3015</v>
      </c>
      <c r="G300" s="159">
        <v>2300</v>
      </c>
      <c r="H300" s="161">
        <v>1610</v>
      </c>
      <c r="J300" s="107"/>
      <c r="K300" s="107"/>
      <c r="L300" s="107"/>
      <c r="M300" s="107"/>
      <c r="N300" s="107"/>
      <c r="O300" s="107"/>
    </row>
    <row r="301" spans="1:15" ht="15" hidden="1" x14ac:dyDescent="0.2">
      <c r="A301" s="91">
        <v>45</v>
      </c>
      <c r="B301" s="93"/>
      <c r="C301" s="114"/>
      <c r="D301" s="159">
        <v>4957</v>
      </c>
      <c r="E301" s="159">
        <v>3935</v>
      </c>
      <c r="F301" s="159">
        <v>3117</v>
      </c>
      <c r="G301" s="159">
        <v>2376</v>
      </c>
      <c r="H301" s="161">
        <v>1635</v>
      </c>
      <c r="J301" s="107"/>
      <c r="K301" s="107"/>
      <c r="L301" s="107"/>
      <c r="M301" s="107"/>
      <c r="N301" s="107"/>
      <c r="O301" s="107"/>
    </row>
    <row r="302" spans="1:15" ht="15" hidden="1" x14ac:dyDescent="0.2">
      <c r="A302" s="91">
        <v>46</v>
      </c>
      <c r="B302" s="93"/>
      <c r="C302" s="114"/>
      <c r="D302" s="159">
        <v>5085</v>
      </c>
      <c r="E302" s="159">
        <v>4063</v>
      </c>
      <c r="F302" s="159">
        <v>3219</v>
      </c>
      <c r="G302" s="159">
        <v>2453</v>
      </c>
      <c r="H302" s="161">
        <v>1686</v>
      </c>
      <c r="J302" s="107"/>
      <c r="K302" s="107"/>
      <c r="L302" s="107"/>
      <c r="M302" s="107"/>
      <c r="N302" s="107"/>
      <c r="O302" s="107"/>
    </row>
    <row r="303" spans="1:15" ht="15" hidden="1" x14ac:dyDescent="0.2">
      <c r="A303" s="91">
        <v>47</v>
      </c>
      <c r="B303" s="93"/>
      <c r="C303" s="114"/>
      <c r="D303" s="159">
        <v>5212</v>
      </c>
      <c r="E303" s="159">
        <v>4165</v>
      </c>
      <c r="F303" s="159">
        <v>3347</v>
      </c>
      <c r="G303" s="159">
        <v>2530</v>
      </c>
      <c r="H303" s="161">
        <v>1712</v>
      </c>
      <c r="J303" s="107"/>
      <c r="K303" s="107"/>
      <c r="L303" s="107"/>
      <c r="M303" s="107"/>
      <c r="N303" s="107"/>
      <c r="O303" s="107"/>
    </row>
    <row r="304" spans="1:15" ht="15" hidden="1" x14ac:dyDescent="0.2">
      <c r="A304" s="91">
        <v>48</v>
      </c>
      <c r="B304" s="93"/>
      <c r="C304" s="114"/>
      <c r="D304" s="159">
        <v>5366</v>
      </c>
      <c r="E304" s="159">
        <v>4318</v>
      </c>
      <c r="F304" s="159">
        <v>3475</v>
      </c>
      <c r="G304" s="159">
        <v>2632</v>
      </c>
      <c r="H304" s="161">
        <v>1763</v>
      </c>
      <c r="J304" s="107"/>
      <c r="K304" s="107"/>
      <c r="L304" s="107"/>
      <c r="M304" s="107"/>
      <c r="N304" s="107"/>
      <c r="O304" s="107"/>
    </row>
    <row r="305" spans="1:15" ht="15" hidden="1" x14ac:dyDescent="0.2">
      <c r="A305" s="91">
        <v>49</v>
      </c>
      <c r="B305" s="93"/>
      <c r="C305" s="114"/>
      <c r="D305" s="159">
        <v>5544</v>
      </c>
      <c r="E305" s="159">
        <v>4471</v>
      </c>
      <c r="F305" s="159">
        <v>3628</v>
      </c>
      <c r="G305" s="159">
        <v>2734</v>
      </c>
      <c r="H305" s="161">
        <v>1814</v>
      </c>
      <c r="J305" s="107"/>
      <c r="K305" s="107"/>
      <c r="L305" s="107"/>
      <c r="M305" s="107"/>
      <c r="N305" s="107"/>
      <c r="O305" s="107"/>
    </row>
    <row r="306" spans="1:15" ht="15" hidden="1" x14ac:dyDescent="0.2">
      <c r="A306" s="91">
        <v>50</v>
      </c>
      <c r="B306" s="93"/>
      <c r="C306" s="114"/>
      <c r="D306" s="159">
        <v>5723</v>
      </c>
      <c r="E306" s="159">
        <v>4625</v>
      </c>
      <c r="F306" s="159">
        <v>3781</v>
      </c>
      <c r="G306" s="159">
        <v>2836</v>
      </c>
      <c r="H306" s="161">
        <v>1865</v>
      </c>
      <c r="J306" s="107"/>
      <c r="K306" s="107"/>
      <c r="L306" s="107"/>
      <c r="M306" s="107"/>
      <c r="N306" s="107"/>
      <c r="O306" s="107"/>
    </row>
    <row r="307" spans="1:15" ht="15" hidden="1" x14ac:dyDescent="0.2">
      <c r="A307" s="91">
        <v>51</v>
      </c>
      <c r="B307" s="93"/>
      <c r="C307" s="114"/>
      <c r="D307" s="159">
        <v>5877</v>
      </c>
      <c r="E307" s="159">
        <v>4778</v>
      </c>
      <c r="F307" s="159">
        <v>3935</v>
      </c>
      <c r="G307" s="159">
        <v>2938</v>
      </c>
      <c r="H307" s="161">
        <v>1916</v>
      </c>
      <c r="J307" s="107"/>
      <c r="K307" s="107"/>
      <c r="L307" s="107"/>
      <c r="M307" s="107"/>
      <c r="N307" s="107"/>
      <c r="O307" s="107"/>
    </row>
    <row r="308" spans="1:15" ht="15" hidden="1" x14ac:dyDescent="0.2">
      <c r="A308" s="91">
        <v>52</v>
      </c>
      <c r="B308" s="93"/>
      <c r="C308" s="114"/>
      <c r="D308" s="159">
        <v>6056</v>
      </c>
      <c r="E308" s="159">
        <v>4957</v>
      </c>
      <c r="F308" s="159">
        <v>4063</v>
      </c>
      <c r="G308" s="159">
        <v>3041</v>
      </c>
      <c r="H308" s="161">
        <v>1967</v>
      </c>
      <c r="J308" s="107"/>
      <c r="K308" s="107"/>
      <c r="L308" s="107"/>
      <c r="M308" s="107"/>
      <c r="N308" s="107"/>
      <c r="O308" s="107"/>
    </row>
    <row r="309" spans="1:15" ht="15" hidden="1" x14ac:dyDescent="0.2">
      <c r="A309" s="91">
        <v>53</v>
      </c>
      <c r="B309" s="93"/>
      <c r="C309" s="114"/>
      <c r="D309" s="159">
        <v>6260</v>
      </c>
      <c r="E309" s="159">
        <v>5136</v>
      </c>
      <c r="F309" s="159">
        <v>4267</v>
      </c>
      <c r="G309" s="159">
        <v>3194</v>
      </c>
      <c r="H309" s="161">
        <v>2019</v>
      </c>
      <c r="J309" s="107"/>
      <c r="K309" s="107"/>
      <c r="L309" s="107"/>
      <c r="M309" s="107"/>
      <c r="N309" s="107"/>
      <c r="O309" s="107"/>
    </row>
    <row r="310" spans="1:15" ht="15" hidden="1" x14ac:dyDescent="0.2">
      <c r="A310" s="91">
        <v>54</v>
      </c>
      <c r="B310" s="93"/>
      <c r="C310" s="114"/>
      <c r="D310" s="159">
        <v>6490</v>
      </c>
      <c r="E310" s="159">
        <v>5340</v>
      </c>
      <c r="F310" s="159">
        <v>4446</v>
      </c>
      <c r="G310" s="159">
        <v>3322</v>
      </c>
      <c r="H310" s="161">
        <v>2095</v>
      </c>
      <c r="J310" s="107"/>
      <c r="K310" s="107"/>
      <c r="L310" s="107"/>
      <c r="M310" s="107"/>
      <c r="N310" s="107"/>
      <c r="O310" s="107"/>
    </row>
    <row r="311" spans="1:15" ht="15" hidden="1" x14ac:dyDescent="0.2">
      <c r="A311" s="91">
        <v>55</v>
      </c>
      <c r="B311" s="93"/>
      <c r="C311" s="114"/>
      <c r="D311" s="159">
        <v>6694</v>
      </c>
      <c r="E311" s="159">
        <v>5544</v>
      </c>
      <c r="F311" s="159">
        <v>4650</v>
      </c>
      <c r="G311" s="159">
        <v>3449</v>
      </c>
      <c r="H311" s="161">
        <v>2146</v>
      </c>
      <c r="J311" s="107"/>
      <c r="K311" s="107"/>
      <c r="L311" s="107"/>
      <c r="M311" s="107"/>
      <c r="N311" s="107"/>
      <c r="O311" s="107"/>
    </row>
    <row r="312" spans="1:15" ht="15" hidden="1" x14ac:dyDescent="0.2">
      <c r="A312" s="91">
        <v>56</v>
      </c>
      <c r="B312" s="93"/>
      <c r="C312" s="114"/>
      <c r="D312" s="159">
        <v>6899</v>
      </c>
      <c r="E312" s="159">
        <v>5723</v>
      </c>
      <c r="F312" s="159">
        <v>4829</v>
      </c>
      <c r="G312" s="159">
        <v>3603</v>
      </c>
      <c r="H312" s="161">
        <v>2223</v>
      </c>
      <c r="J312" s="107"/>
      <c r="K312" s="107"/>
      <c r="L312" s="107"/>
      <c r="M312" s="107"/>
      <c r="N312" s="107"/>
      <c r="O312" s="107"/>
    </row>
    <row r="313" spans="1:15" ht="15" hidden="1" x14ac:dyDescent="0.2">
      <c r="A313" s="91">
        <v>57</v>
      </c>
      <c r="B313" s="93"/>
      <c r="C313" s="114"/>
      <c r="D313" s="159">
        <v>7129</v>
      </c>
      <c r="E313" s="159">
        <v>5928</v>
      </c>
      <c r="F313" s="159">
        <v>5033</v>
      </c>
      <c r="G313" s="159">
        <v>3730</v>
      </c>
      <c r="H313" s="161">
        <v>2274</v>
      </c>
      <c r="J313" s="107"/>
      <c r="K313" s="107"/>
      <c r="L313" s="107"/>
      <c r="M313" s="107"/>
      <c r="N313" s="107"/>
      <c r="O313" s="107"/>
    </row>
    <row r="314" spans="1:15" ht="15" hidden="1" x14ac:dyDescent="0.2">
      <c r="A314" s="91">
        <v>58</v>
      </c>
      <c r="B314" s="93"/>
      <c r="C314" s="114"/>
      <c r="D314" s="159">
        <v>7410</v>
      </c>
      <c r="E314" s="159">
        <v>6183</v>
      </c>
      <c r="F314" s="159">
        <v>5289</v>
      </c>
      <c r="G314" s="159">
        <v>3909</v>
      </c>
      <c r="H314" s="161">
        <v>2351</v>
      </c>
      <c r="J314" s="107"/>
      <c r="K314" s="107"/>
      <c r="L314" s="107"/>
      <c r="M314" s="107"/>
      <c r="N314" s="107"/>
      <c r="O314" s="107"/>
    </row>
    <row r="315" spans="1:15" ht="15" hidden="1" x14ac:dyDescent="0.2">
      <c r="A315" s="91">
        <v>59</v>
      </c>
      <c r="B315" s="93"/>
      <c r="C315" s="114"/>
      <c r="D315" s="159">
        <v>7691</v>
      </c>
      <c r="E315" s="159">
        <v>6439</v>
      </c>
      <c r="F315" s="159">
        <v>5544</v>
      </c>
      <c r="G315" s="159">
        <v>4088</v>
      </c>
      <c r="H315" s="161">
        <v>2427</v>
      </c>
      <c r="J315" s="107"/>
      <c r="K315" s="107"/>
      <c r="L315" s="107"/>
      <c r="M315" s="107"/>
      <c r="N315" s="107"/>
      <c r="O315" s="107"/>
    </row>
    <row r="316" spans="1:15" ht="15" hidden="1" x14ac:dyDescent="0.2">
      <c r="A316" s="91">
        <v>60</v>
      </c>
      <c r="B316" s="93"/>
      <c r="C316" s="114"/>
      <c r="D316" s="159">
        <v>7946</v>
      </c>
      <c r="E316" s="159">
        <v>6694</v>
      </c>
      <c r="F316" s="159">
        <v>5800</v>
      </c>
      <c r="G316" s="159">
        <v>4267</v>
      </c>
      <c r="H316" s="161">
        <v>2504</v>
      </c>
      <c r="J316" s="107"/>
      <c r="K316" s="107"/>
      <c r="L316" s="107"/>
      <c r="M316" s="107"/>
      <c r="N316" s="107"/>
      <c r="O316" s="107"/>
    </row>
    <row r="317" spans="1:15" ht="15" hidden="1" x14ac:dyDescent="0.2">
      <c r="A317" s="91">
        <v>61</v>
      </c>
      <c r="B317" s="93"/>
      <c r="C317" s="114"/>
      <c r="D317" s="159">
        <v>8330</v>
      </c>
      <c r="E317" s="159">
        <v>7052</v>
      </c>
      <c r="F317" s="159">
        <v>6132</v>
      </c>
      <c r="G317" s="159">
        <v>4522</v>
      </c>
      <c r="H317" s="161">
        <v>2632</v>
      </c>
      <c r="J317" s="107"/>
      <c r="K317" s="107"/>
      <c r="L317" s="107"/>
      <c r="M317" s="107"/>
      <c r="N317" s="107"/>
      <c r="O317" s="107"/>
    </row>
    <row r="318" spans="1:15" ht="15" hidden="1" x14ac:dyDescent="0.2">
      <c r="A318" s="91">
        <v>62</v>
      </c>
      <c r="B318" s="93"/>
      <c r="C318" s="114"/>
      <c r="D318" s="159">
        <v>8841</v>
      </c>
      <c r="E318" s="159">
        <v>7537</v>
      </c>
      <c r="F318" s="159">
        <v>6643</v>
      </c>
      <c r="G318" s="159">
        <v>4855</v>
      </c>
      <c r="H318" s="161">
        <v>2759</v>
      </c>
      <c r="J318" s="107"/>
      <c r="K318" s="107"/>
      <c r="L318" s="107"/>
      <c r="M318" s="107"/>
      <c r="N318" s="107"/>
      <c r="O318" s="107"/>
    </row>
    <row r="319" spans="1:15" ht="15" hidden="1" x14ac:dyDescent="0.2">
      <c r="A319" s="91">
        <v>63</v>
      </c>
      <c r="B319" s="93"/>
      <c r="C319" s="114"/>
      <c r="D319" s="159">
        <v>9581</v>
      </c>
      <c r="E319" s="159">
        <v>8227</v>
      </c>
      <c r="F319" s="159">
        <v>7307</v>
      </c>
      <c r="G319" s="159">
        <v>5366</v>
      </c>
      <c r="H319" s="161">
        <v>2964</v>
      </c>
      <c r="J319" s="107"/>
      <c r="K319" s="107"/>
      <c r="L319" s="107"/>
      <c r="M319" s="107"/>
      <c r="N319" s="107"/>
      <c r="O319" s="107"/>
    </row>
    <row r="320" spans="1:15" ht="15" hidden="1" x14ac:dyDescent="0.2">
      <c r="A320" s="91">
        <v>64</v>
      </c>
      <c r="B320" s="93"/>
      <c r="C320" s="114"/>
      <c r="D320" s="159">
        <v>10604</v>
      </c>
      <c r="E320" s="159">
        <v>9173</v>
      </c>
      <c r="F320" s="159">
        <v>8227</v>
      </c>
      <c r="G320" s="159">
        <v>6056</v>
      </c>
      <c r="H320" s="161">
        <v>3270</v>
      </c>
      <c r="J320" s="107"/>
      <c r="K320" s="107"/>
      <c r="L320" s="107"/>
      <c r="M320" s="107"/>
      <c r="N320" s="107"/>
      <c r="O320" s="107"/>
    </row>
    <row r="321" spans="1:15" ht="15" hidden="1" x14ac:dyDescent="0.2">
      <c r="A321" s="91">
        <v>65</v>
      </c>
      <c r="B321" s="93"/>
      <c r="C321" s="114"/>
      <c r="D321" s="159">
        <v>11907</v>
      </c>
      <c r="E321" s="159">
        <v>10450</v>
      </c>
      <c r="F321" s="159">
        <v>9403</v>
      </c>
      <c r="G321" s="159">
        <v>6950</v>
      </c>
      <c r="H321" s="161">
        <v>3679</v>
      </c>
      <c r="J321" s="107"/>
      <c r="K321" s="107"/>
      <c r="L321" s="107"/>
      <c r="M321" s="107"/>
      <c r="N321" s="107"/>
      <c r="O321" s="107"/>
    </row>
    <row r="322" spans="1:15" ht="15" hidden="1" x14ac:dyDescent="0.2">
      <c r="A322" s="91">
        <v>66</v>
      </c>
      <c r="B322" s="93"/>
      <c r="C322" s="114"/>
      <c r="D322" s="159">
        <v>13516</v>
      </c>
      <c r="E322" s="159">
        <v>12009</v>
      </c>
      <c r="F322" s="159">
        <v>10808</v>
      </c>
      <c r="G322" s="159">
        <v>8048</v>
      </c>
      <c r="H322" s="161">
        <v>4190</v>
      </c>
      <c r="J322" s="107"/>
      <c r="K322" s="107"/>
      <c r="L322" s="107"/>
      <c r="M322" s="107"/>
      <c r="N322" s="107"/>
      <c r="O322" s="107"/>
    </row>
    <row r="323" spans="1:15" ht="15" hidden="1" x14ac:dyDescent="0.2">
      <c r="A323" s="91">
        <v>67</v>
      </c>
      <c r="B323" s="93"/>
      <c r="C323" s="114"/>
      <c r="D323" s="159">
        <v>15305</v>
      </c>
      <c r="E323" s="159">
        <v>13746</v>
      </c>
      <c r="F323" s="159">
        <v>12392</v>
      </c>
      <c r="G323" s="159">
        <v>9275</v>
      </c>
      <c r="H323" s="161">
        <v>4804</v>
      </c>
      <c r="J323" s="107"/>
      <c r="K323" s="107"/>
      <c r="L323" s="107"/>
      <c r="M323" s="107"/>
      <c r="N323" s="107"/>
      <c r="O323" s="107"/>
    </row>
    <row r="324" spans="1:15" ht="15" hidden="1" x14ac:dyDescent="0.2">
      <c r="A324" s="91">
        <v>68</v>
      </c>
      <c r="B324" s="93"/>
      <c r="C324" s="114"/>
      <c r="D324" s="159">
        <v>17221</v>
      </c>
      <c r="E324" s="159">
        <v>15663</v>
      </c>
      <c r="F324" s="159">
        <v>14104</v>
      </c>
      <c r="G324" s="159">
        <v>10578</v>
      </c>
      <c r="H324" s="161">
        <v>5442</v>
      </c>
      <c r="J324" s="107"/>
      <c r="K324" s="107"/>
      <c r="L324" s="107"/>
      <c r="M324" s="107"/>
      <c r="N324" s="107"/>
      <c r="O324" s="107"/>
    </row>
    <row r="325" spans="1:15" ht="15" hidden="1" x14ac:dyDescent="0.2">
      <c r="A325" s="91">
        <v>69</v>
      </c>
      <c r="B325" s="93"/>
      <c r="C325" s="114"/>
      <c r="D325" s="159">
        <v>19240</v>
      </c>
      <c r="E325" s="159">
        <v>17681</v>
      </c>
      <c r="F325" s="159">
        <v>15867</v>
      </c>
      <c r="G325" s="159">
        <v>11983</v>
      </c>
      <c r="H325" s="161">
        <v>6158</v>
      </c>
      <c r="J325" s="107"/>
      <c r="K325" s="107"/>
      <c r="L325" s="107"/>
      <c r="M325" s="107"/>
      <c r="N325" s="107"/>
      <c r="O325" s="107"/>
    </row>
    <row r="326" spans="1:15" ht="15" hidden="1" x14ac:dyDescent="0.2">
      <c r="A326" s="91">
        <v>70</v>
      </c>
      <c r="B326" s="93"/>
      <c r="C326" s="114"/>
      <c r="D326" s="159">
        <v>21335</v>
      </c>
      <c r="E326" s="159">
        <v>19751</v>
      </c>
      <c r="F326" s="159">
        <v>17707</v>
      </c>
      <c r="G326" s="159">
        <v>13414</v>
      </c>
      <c r="H326" s="161">
        <v>6873</v>
      </c>
      <c r="J326" s="107"/>
      <c r="K326" s="107"/>
      <c r="L326" s="107"/>
      <c r="M326" s="107"/>
      <c r="N326" s="107"/>
      <c r="O326" s="107"/>
    </row>
    <row r="327" spans="1:15" ht="15" hidden="1" x14ac:dyDescent="0.2">
      <c r="A327" s="91">
        <v>71</v>
      </c>
      <c r="B327" s="93"/>
      <c r="C327" s="114"/>
      <c r="D327" s="159">
        <v>23481</v>
      </c>
      <c r="E327" s="159">
        <v>21897</v>
      </c>
      <c r="F327" s="159">
        <v>19597</v>
      </c>
      <c r="G327" s="159">
        <v>14896</v>
      </c>
      <c r="H327" s="161">
        <v>7614</v>
      </c>
      <c r="J327" s="107"/>
      <c r="K327" s="107"/>
      <c r="L327" s="107"/>
      <c r="M327" s="107"/>
      <c r="N327" s="107"/>
      <c r="O327" s="107"/>
    </row>
    <row r="328" spans="1:15" ht="15" hidden="1" x14ac:dyDescent="0.2">
      <c r="A328" s="91">
        <v>72</v>
      </c>
      <c r="B328" s="93"/>
      <c r="C328" s="114"/>
      <c r="D328" s="159">
        <v>25704</v>
      </c>
      <c r="E328" s="159">
        <v>24094</v>
      </c>
      <c r="F328" s="159">
        <v>21539</v>
      </c>
      <c r="G328" s="159">
        <v>16404</v>
      </c>
      <c r="H328" s="161">
        <v>8406</v>
      </c>
      <c r="J328" s="107"/>
      <c r="K328" s="107"/>
      <c r="L328" s="107"/>
      <c r="M328" s="107"/>
      <c r="N328" s="107"/>
      <c r="O328" s="107"/>
    </row>
    <row r="329" spans="1:15" ht="15" hidden="1" x14ac:dyDescent="0.2">
      <c r="A329" s="91">
        <v>73</v>
      </c>
      <c r="B329" s="93"/>
      <c r="C329" s="114"/>
      <c r="D329" s="159">
        <v>27952</v>
      </c>
      <c r="E329" s="159">
        <v>26343</v>
      </c>
      <c r="F329" s="159">
        <v>23532</v>
      </c>
      <c r="G329" s="159">
        <v>17962</v>
      </c>
      <c r="H329" s="161">
        <v>9198</v>
      </c>
      <c r="J329" s="107"/>
      <c r="K329" s="107"/>
      <c r="L329" s="107"/>
      <c r="M329" s="107"/>
      <c r="N329" s="107"/>
      <c r="O329" s="107"/>
    </row>
    <row r="330" spans="1:15" ht="15" hidden="1" x14ac:dyDescent="0.2">
      <c r="A330" s="91">
        <v>74</v>
      </c>
      <c r="B330" s="93"/>
      <c r="C330" s="114"/>
      <c r="D330" s="159">
        <v>30252</v>
      </c>
      <c r="E330" s="159">
        <v>28642</v>
      </c>
      <c r="F330" s="159">
        <v>25551</v>
      </c>
      <c r="G330" s="159">
        <v>19546</v>
      </c>
      <c r="H330" s="161">
        <v>9990</v>
      </c>
      <c r="J330" s="107"/>
      <c r="K330" s="107"/>
      <c r="L330" s="107"/>
      <c r="M330" s="107"/>
      <c r="N330" s="107"/>
      <c r="O330" s="107"/>
    </row>
    <row r="331" spans="1:15" ht="15" hidden="1" x14ac:dyDescent="0.2">
      <c r="A331" s="91">
        <v>75</v>
      </c>
      <c r="B331" s="93"/>
      <c r="C331" s="114"/>
      <c r="D331" s="159">
        <v>32603</v>
      </c>
      <c r="E331" s="159">
        <v>30993</v>
      </c>
      <c r="F331" s="159">
        <v>27595</v>
      </c>
      <c r="G331" s="159">
        <v>21156</v>
      </c>
      <c r="H331" s="161">
        <v>10833</v>
      </c>
      <c r="J331" s="107"/>
      <c r="K331" s="107"/>
      <c r="L331" s="107"/>
      <c r="M331" s="107"/>
      <c r="N331" s="107"/>
      <c r="O331" s="107"/>
    </row>
    <row r="332" spans="1:15" ht="15" hidden="1" x14ac:dyDescent="0.2">
      <c r="A332" s="91">
        <v>76</v>
      </c>
      <c r="B332" s="93"/>
      <c r="C332" s="114"/>
      <c r="D332" s="159">
        <v>34979</v>
      </c>
      <c r="E332" s="159">
        <v>33369</v>
      </c>
      <c r="F332" s="159">
        <v>29690</v>
      </c>
      <c r="G332" s="159">
        <v>22791</v>
      </c>
      <c r="H332" s="161">
        <v>11677</v>
      </c>
      <c r="J332" s="107"/>
      <c r="K332" s="107"/>
      <c r="L332" s="107"/>
      <c r="M332" s="107"/>
      <c r="N332" s="107"/>
      <c r="O332" s="107"/>
    </row>
    <row r="333" spans="1:15" ht="15" hidden="1" x14ac:dyDescent="0.2">
      <c r="A333" s="91">
        <v>77</v>
      </c>
      <c r="B333" s="93"/>
      <c r="C333" s="114"/>
      <c r="D333" s="159">
        <v>37406</v>
      </c>
      <c r="E333" s="159">
        <v>35771</v>
      </c>
      <c r="F333" s="159">
        <v>31811</v>
      </c>
      <c r="G333" s="159">
        <v>24426</v>
      </c>
      <c r="H333" s="161">
        <v>12520</v>
      </c>
      <c r="J333" s="107"/>
      <c r="K333" s="107"/>
      <c r="L333" s="107"/>
      <c r="M333" s="107"/>
      <c r="N333" s="107"/>
      <c r="O333" s="107"/>
    </row>
    <row r="334" spans="1:15" ht="15" hidden="1" x14ac:dyDescent="0.2">
      <c r="A334" s="91">
        <v>78</v>
      </c>
      <c r="B334" s="93"/>
      <c r="C334" s="114"/>
      <c r="D334" s="159">
        <v>39833</v>
      </c>
      <c r="E334" s="159">
        <v>38224</v>
      </c>
      <c r="F334" s="159">
        <v>33957</v>
      </c>
      <c r="G334" s="159">
        <v>26113</v>
      </c>
      <c r="H334" s="161">
        <v>13389</v>
      </c>
      <c r="J334" s="107"/>
      <c r="K334" s="107"/>
      <c r="L334" s="107"/>
      <c r="M334" s="107"/>
      <c r="N334" s="107"/>
      <c r="O334" s="107"/>
    </row>
    <row r="335" spans="1:15" ht="15" hidden="1" x14ac:dyDescent="0.2">
      <c r="A335" s="91">
        <v>79</v>
      </c>
      <c r="B335" s="93"/>
      <c r="C335" s="114"/>
      <c r="D335" s="159">
        <v>42312</v>
      </c>
      <c r="E335" s="159">
        <v>40677</v>
      </c>
      <c r="F335" s="159">
        <v>36103</v>
      </c>
      <c r="G335" s="159">
        <v>27799</v>
      </c>
      <c r="H335" s="161">
        <v>14257</v>
      </c>
      <c r="J335" s="107"/>
      <c r="K335" s="107"/>
      <c r="L335" s="107"/>
      <c r="M335" s="107"/>
      <c r="N335" s="107"/>
      <c r="O335" s="107"/>
    </row>
    <row r="336" spans="1:15" ht="15" hidden="1" x14ac:dyDescent="0.2">
      <c r="A336" s="91">
        <v>80</v>
      </c>
      <c r="B336" s="158" t="s">
        <v>198</v>
      </c>
      <c r="C336" s="114"/>
      <c r="D336" s="159">
        <v>44790</v>
      </c>
      <c r="E336" s="159">
        <v>43181</v>
      </c>
      <c r="F336" s="159">
        <v>38300</v>
      </c>
      <c r="G336" s="159">
        <v>29511</v>
      </c>
      <c r="H336" s="161">
        <v>15152</v>
      </c>
      <c r="J336" s="107"/>
      <c r="K336" s="107"/>
      <c r="L336" s="107"/>
      <c r="M336" s="107"/>
      <c r="N336" s="107"/>
      <c r="O336" s="107"/>
    </row>
    <row r="337" spans="1:15" ht="15" hidden="1" x14ac:dyDescent="0.2">
      <c r="A337" s="91">
        <v>1</v>
      </c>
      <c r="B337" s="93" t="s">
        <v>13</v>
      </c>
      <c r="C337" s="114">
        <v>1290</v>
      </c>
      <c r="D337" s="159">
        <v>1303</v>
      </c>
      <c r="E337" s="159">
        <v>945</v>
      </c>
      <c r="F337" s="159">
        <v>715</v>
      </c>
      <c r="G337" s="159">
        <v>639</v>
      </c>
      <c r="H337" s="161">
        <v>460</v>
      </c>
      <c r="J337" s="107"/>
      <c r="K337" s="107"/>
      <c r="L337" s="107"/>
      <c r="M337" s="107"/>
      <c r="N337" s="107"/>
      <c r="O337" s="107"/>
    </row>
    <row r="338" spans="1:15" ht="15" hidden="1" x14ac:dyDescent="0.2">
      <c r="A338" s="91">
        <v>2</v>
      </c>
      <c r="B338" s="93" t="s">
        <v>1</v>
      </c>
      <c r="C338" s="114">
        <v>1986</v>
      </c>
      <c r="D338" s="159">
        <v>2146</v>
      </c>
      <c r="E338" s="159">
        <v>1482</v>
      </c>
      <c r="F338" s="159">
        <v>1124</v>
      </c>
      <c r="G338" s="159">
        <v>996</v>
      </c>
      <c r="H338" s="161">
        <v>664</v>
      </c>
      <c r="J338" s="107"/>
      <c r="K338" s="107"/>
      <c r="L338" s="107"/>
      <c r="M338" s="107"/>
      <c r="N338" s="107"/>
      <c r="O338" s="107"/>
    </row>
    <row r="339" spans="1:15" ht="15" hidden="1" x14ac:dyDescent="0.2">
      <c r="A339" s="91">
        <v>3</v>
      </c>
      <c r="B339" s="93" t="s">
        <v>14</v>
      </c>
      <c r="C339" s="114">
        <v>2900</v>
      </c>
      <c r="D339" s="159">
        <v>3143</v>
      </c>
      <c r="E339" s="159">
        <v>2146</v>
      </c>
      <c r="F339" s="159">
        <v>1661</v>
      </c>
      <c r="G339" s="159">
        <v>1456</v>
      </c>
      <c r="H339" s="161">
        <v>1022</v>
      </c>
      <c r="J339" s="107"/>
      <c r="K339" s="107"/>
      <c r="L339" s="107"/>
      <c r="M339" s="107"/>
      <c r="N339" s="107"/>
      <c r="O339" s="107"/>
    </row>
    <row r="340" spans="1:15" hidden="1" x14ac:dyDescent="0.2">
      <c r="A340" s="91">
        <v>1</v>
      </c>
      <c r="B340" s="93" t="s">
        <v>3</v>
      </c>
      <c r="C340" s="114">
        <v>225</v>
      </c>
      <c r="D340" s="94">
        <v>225</v>
      </c>
      <c r="E340" s="94">
        <v>225</v>
      </c>
      <c r="F340" s="94">
        <v>225</v>
      </c>
      <c r="G340" s="94">
        <v>225</v>
      </c>
      <c r="H340" s="95">
        <v>225</v>
      </c>
      <c r="J340" s="107"/>
      <c r="K340" s="107"/>
      <c r="L340" s="107"/>
      <c r="M340" s="107"/>
      <c r="N340" s="107"/>
      <c r="O340" s="107"/>
    </row>
    <row r="341" spans="1:15" hidden="1" x14ac:dyDescent="0.2">
      <c r="A341" s="91">
        <v>1</v>
      </c>
      <c r="B341" s="93" t="s">
        <v>2</v>
      </c>
      <c r="C341" s="114">
        <v>250</v>
      </c>
      <c r="D341" s="94">
        <v>300</v>
      </c>
      <c r="E341" s="94">
        <v>300</v>
      </c>
      <c r="F341" s="94">
        <v>300</v>
      </c>
      <c r="G341" s="94">
        <v>300</v>
      </c>
      <c r="H341" s="95">
        <v>300</v>
      </c>
      <c r="J341" s="107"/>
      <c r="K341" s="107"/>
      <c r="L341" s="107"/>
      <c r="M341" s="107"/>
      <c r="N341" s="107"/>
      <c r="O341" s="107"/>
    </row>
    <row r="342" spans="1:15" hidden="1" x14ac:dyDescent="0.2">
      <c r="A342" s="91"/>
      <c r="B342" s="157" t="s">
        <v>195</v>
      </c>
      <c r="C342" s="117"/>
      <c r="D342" s="94">
        <v>180</v>
      </c>
      <c r="E342" s="94">
        <v>345</v>
      </c>
      <c r="F342" s="94">
        <v>775</v>
      </c>
      <c r="G342" s="94">
        <v>1330</v>
      </c>
      <c r="H342" s="95">
        <v>2080</v>
      </c>
    </row>
    <row r="343" spans="1:15" ht="18" hidden="1" x14ac:dyDescent="0.25">
      <c r="A343" s="325" t="s">
        <v>35</v>
      </c>
      <c r="B343" s="326"/>
      <c r="C343" s="326"/>
      <c r="D343" s="326"/>
      <c r="E343" s="326"/>
      <c r="F343" s="326"/>
      <c r="G343" s="326"/>
      <c r="H343" s="327"/>
    </row>
    <row r="344" spans="1:15" hidden="1" x14ac:dyDescent="0.2">
      <c r="A344" s="328" t="s">
        <v>0</v>
      </c>
      <c r="B344" s="329"/>
      <c r="C344" s="329"/>
      <c r="D344" s="329"/>
      <c r="E344" s="329"/>
      <c r="F344" s="329"/>
      <c r="G344" s="329"/>
      <c r="H344" s="90"/>
    </row>
    <row r="345" spans="1:15" hidden="1" x14ac:dyDescent="0.2">
      <c r="A345" s="91" t="s">
        <v>4</v>
      </c>
      <c r="B345" s="92" t="s">
        <v>4</v>
      </c>
      <c r="C345" s="155" t="s">
        <v>56</v>
      </c>
      <c r="D345" s="154" t="s">
        <v>57</v>
      </c>
      <c r="E345" s="154" t="s">
        <v>58</v>
      </c>
      <c r="F345" s="154" t="s">
        <v>59</v>
      </c>
      <c r="G345" s="154" t="s">
        <v>60</v>
      </c>
      <c r="H345" s="90" t="s">
        <v>61</v>
      </c>
    </row>
    <row r="346" spans="1:15" hidden="1" x14ac:dyDescent="0.2">
      <c r="A346" s="91">
        <v>18</v>
      </c>
      <c r="B346" s="93"/>
      <c r="C346" s="114">
        <f t="shared" ref="C346:H355" si="8">+C274*$L$2</f>
        <v>1659.96</v>
      </c>
      <c r="D346" s="94">
        <f t="shared" si="8"/>
        <v>1489.8300000000002</v>
      </c>
      <c r="E346" s="94">
        <f t="shared" si="8"/>
        <v>1110.3500000000001</v>
      </c>
      <c r="F346" s="94">
        <f t="shared" si="8"/>
        <v>826.2700000000001</v>
      </c>
      <c r="G346" s="94">
        <f t="shared" si="8"/>
        <v>636.53000000000009</v>
      </c>
      <c r="H346" s="95">
        <f t="shared" si="8"/>
        <v>500.85</v>
      </c>
    </row>
    <row r="347" spans="1:15" hidden="1" x14ac:dyDescent="0.2">
      <c r="A347" s="91">
        <v>19</v>
      </c>
      <c r="B347" s="93"/>
      <c r="C347" s="114">
        <f t="shared" si="8"/>
        <v>1856.0600000000002</v>
      </c>
      <c r="D347" s="94">
        <f t="shared" si="8"/>
        <v>1503.0800000000002</v>
      </c>
      <c r="E347" s="94">
        <f t="shared" si="8"/>
        <v>1124.1300000000001</v>
      </c>
      <c r="F347" s="94">
        <f t="shared" si="8"/>
        <v>839.5200000000001</v>
      </c>
      <c r="G347" s="94">
        <f t="shared" si="8"/>
        <v>649.78000000000009</v>
      </c>
      <c r="H347" s="95">
        <f t="shared" si="8"/>
        <v>514.63</v>
      </c>
    </row>
    <row r="348" spans="1:15" hidden="1" x14ac:dyDescent="0.2">
      <c r="A348" s="91">
        <v>20</v>
      </c>
      <c r="B348" s="93"/>
      <c r="C348" s="114">
        <f t="shared" si="8"/>
        <v>2168.23</v>
      </c>
      <c r="D348" s="94">
        <f t="shared" si="8"/>
        <v>1530.1100000000001</v>
      </c>
      <c r="E348" s="94">
        <f t="shared" si="8"/>
        <v>1151.1600000000001</v>
      </c>
      <c r="F348" s="94">
        <f t="shared" si="8"/>
        <v>853.30000000000007</v>
      </c>
      <c r="G348" s="94">
        <f t="shared" si="8"/>
        <v>663.56000000000006</v>
      </c>
      <c r="H348" s="95">
        <f t="shared" si="8"/>
        <v>527.88</v>
      </c>
    </row>
    <row r="349" spans="1:15" hidden="1" x14ac:dyDescent="0.2">
      <c r="A349" s="91">
        <v>21</v>
      </c>
      <c r="B349" s="93"/>
      <c r="C349" s="114">
        <f t="shared" si="8"/>
        <v>2447.54</v>
      </c>
      <c r="D349" s="94">
        <f t="shared" si="8"/>
        <v>1557.14</v>
      </c>
      <c r="E349" s="94">
        <f t="shared" si="8"/>
        <v>1178.19</v>
      </c>
      <c r="F349" s="94">
        <f t="shared" si="8"/>
        <v>880.33</v>
      </c>
      <c r="G349" s="94">
        <f t="shared" si="8"/>
        <v>663.56000000000006</v>
      </c>
      <c r="H349" s="95">
        <f t="shared" si="8"/>
        <v>527.88</v>
      </c>
    </row>
    <row r="350" spans="1:15" hidden="1" x14ac:dyDescent="0.2">
      <c r="A350" s="91">
        <v>22</v>
      </c>
      <c r="B350" s="93"/>
      <c r="C350" s="114">
        <f t="shared" si="8"/>
        <v>2771.3700000000003</v>
      </c>
      <c r="D350" s="94">
        <f t="shared" si="8"/>
        <v>1584.17</v>
      </c>
      <c r="E350" s="94">
        <f t="shared" si="8"/>
        <v>1191.44</v>
      </c>
      <c r="F350" s="94">
        <f t="shared" si="8"/>
        <v>893.58</v>
      </c>
      <c r="G350" s="94">
        <f t="shared" si="8"/>
        <v>677.34</v>
      </c>
      <c r="H350" s="95">
        <f t="shared" si="8"/>
        <v>541.66000000000008</v>
      </c>
    </row>
    <row r="351" spans="1:15" hidden="1" x14ac:dyDescent="0.2">
      <c r="A351" s="91">
        <v>23</v>
      </c>
      <c r="B351" s="93"/>
      <c r="C351" s="114">
        <f t="shared" si="8"/>
        <v>3200.67</v>
      </c>
      <c r="D351" s="94">
        <f t="shared" si="8"/>
        <v>1624.98</v>
      </c>
      <c r="E351" s="94">
        <f t="shared" si="8"/>
        <v>1219</v>
      </c>
      <c r="F351" s="94">
        <f t="shared" si="8"/>
        <v>907.36</v>
      </c>
      <c r="G351" s="94">
        <f t="shared" si="8"/>
        <v>690.59</v>
      </c>
      <c r="H351" s="95">
        <f t="shared" si="8"/>
        <v>555.44000000000005</v>
      </c>
    </row>
    <row r="352" spans="1:15" hidden="1" x14ac:dyDescent="0.2">
      <c r="A352" s="91">
        <v>24</v>
      </c>
      <c r="B352" s="93"/>
      <c r="C352" s="114">
        <f t="shared" si="8"/>
        <v>3622.55</v>
      </c>
      <c r="D352" s="94">
        <f t="shared" si="8"/>
        <v>1652.01</v>
      </c>
      <c r="E352" s="94">
        <f t="shared" si="8"/>
        <v>1246.03</v>
      </c>
      <c r="F352" s="94">
        <f t="shared" si="8"/>
        <v>920.61</v>
      </c>
      <c r="G352" s="94">
        <f t="shared" si="8"/>
        <v>704.37</v>
      </c>
      <c r="H352" s="95">
        <f t="shared" si="8"/>
        <v>555.44000000000005</v>
      </c>
    </row>
    <row r="353" spans="1:8" hidden="1" x14ac:dyDescent="0.2">
      <c r="A353" s="91">
        <v>25</v>
      </c>
      <c r="B353" s="93"/>
      <c r="C353" s="114">
        <f t="shared" si="8"/>
        <v>4196.54</v>
      </c>
      <c r="D353" s="94">
        <f t="shared" si="8"/>
        <v>1679.0400000000002</v>
      </c>
      <c r="E353" s="94">
        <f t="shared" si="8"/>
        <v>1259.28</v>
      </c>
      <c r="F353" s="94">
        <f t="shared" si="8"/>
        <v>934.3900000000001</v>
      </c>
      <c r="G353" s="94">
        <f t="shared" si="8"/>
        <v>717.62</v>
      </c>
      <c r="H353" s="95">
        <f t="shared" si="8"/>
        <v>568.69000000000005</v>
      </c>
    </row>
    <row r="354" spans="1:8" hidden="1" x14ac:dyDescent="0.2">
      <c r="A354" s="91">
        <v>26</v>
      </c>
      <c r="B354" s="93"/>
      <c r="C354" s="114">
        <f t="shared" si="8"/>
        <v>4465.25</v>
      </c>
      <c r="D354" s="94">
        <f t="shared" si="8"/>
        <v>1706.0700000000002</v>
      </c>
      <c r="E354" s="94">
        <f t="shared" si="8"/>
        <v>1286.3100000000002</v>
      </c>
      <c r="F354" s="94">
        <f t="shared" si="8"/>
        <v>961.42000000000007</v>
      </c>
      <c r="G354" s="94">
        <f t="shared" si="8"/>
        <v>731.40000000000009</v>
      </c>
      <c r="H354" s="95">
        <f t="shared" si="8"/>
        <v>582.47</v>
      </c>
    </row>
    <row r="355" spans="1:8" hidden="1" x14ac:dyDescent="0.2">
      <c r="A355" s="91">
        <v>27</v>
      </c>
      <c r="B355" s="93"/>
      <c r="C355" s="114">
        <f t="shared" si="8"/>
        <v>5024.4000000000005</v>
      </c>
      <c r="D355" s="94">
        <f t="shared" si="8"/>
        <v>1733.1000000000001</v>
      </c>
      <c r="E355" s="94">
        <f t="shared" si="8"/>
        <v>1313.3400000000001</v>
      </c>
      <c r="F355" s="94">
        <f t="shared" si="8"/>
        <v>975.2</v>
      </c>
      <c r="G355" s="94">
        <f t="shared" si="8"/>
        <v>744.65000000000009</v>
      </c>
      <c r="H355" s="95">
        <f t="shared" si="8"/>
        <v>595.72</v>
      </c>
    </row>
    <row r="356" spans="1:8" hidden="1" x14ac:dyDescent="0.2">
      <c r="A356" s="91">
        <v>28</v>
      </c>
      <c r="B356" s="93"/>
      <c r="C356" s="114">
        <f t="shared" ref="C356:H365" si="9">+C284*$L$2</f>
        <v>5583.55</v>
      </c>
      <c r="D356" s="94">
        <f t="shared" si="9"/>
        <v>1760.66</v>
      </c>
      <c r="E356" s="94">
        <f t="shared" si="9"/>
        <v>1340.9</v>
      </c>
      <c r="F356" s="94">
        <f t="shared" si="9"/>
        <v>1002.23</v>
      </c>
      <c r="G356" s="94">
        <f t="shared" si="9"/>
        <v>771.68000000000006</v>
      </c>
      <c r="H356" s="95">
        <f t="shared" si="9"/>
        <v>595.72</v>
      </c>
    </row>
    <row r="357" spans="1:8" hidden="1" x14ac:dyDescent="0.2">
      <c r="A357" s="91">
        <v>29</v>
      </c>
      <c r="B357" s="93"/>
      <c r="C357" s="114">
        <f t="shared" si="9"/>
        <v>6144.29</v>
      </c>
      <c r="D357" s="94">
        <f t="shared" si="9"/>
        <v>1800.94</v>
      </c>
      <c r="E357" s="94">
        <f t="shared" si="9"/>
        <v>1367.93</v>
      </c>
      <c r="F357" s="94">
        <f t="shared" si="9"/>
        <v>1015.48</v>
      </c>
      <c r="G357" s="94">
        <f t="shared" si="9"/>
        <v>785.46</v>
      </c>
      <c r="H357" s="95">
        <f t="shared" si="9"/>
        <v>609.5</v>
      </c>
    </row>
    <row r="358" spans="1:8" hidden="1" x14ac:dyDescent="0.2">
      <c r="A358" s="91">
        <v>30</v>
      </c>
      <c r="B358" s="93"/>
      <c r="C358" s="114">
        <f t="shared" si="9"/>
        <v>6703.4400000000005</v>
      </c>
      <c r="D358" s="94">
        <f t="shared" si="9"/>
        <v>1841.75</v>
      </c>
      <c r="E358" s="94">
        <f t="shared" si="9"/>
        <v>1408.21</v>
      </c>
      <c r="F358" s="94">
        <f t="shared" si="9"/>
        <v>1042.51</v>
      </c>
      <c r="G358" s="94">
        <f t="shared" si="9"/>
        <v>798.71</v>
      </c>
      <c r="H358" s="95">
        <f t="shared" si="9"/>
        <v>622.75</v>
      </c>
    </row>
    <row r="359" spans="1:8" hidden="1" x14ac:dyDescent="0.2">
      <c r="A359" s="91">
        <v>31</v>
      </c>
      <c r="B359" s="93"/>
      <c r="C359" s="114">
        <f t="shared" si="9"/>
        <v>7363.29</v>
      </c>
      <c r="D359" s="94">
        <f t="shared" si="9"/>
        <v>1868.7800000000002</v>
      </c>
      <c r="E359" s="94">
        <f t="shared" si="9"/>
        <v>1435.24</v>
      </c>
      <c r="F359" s="94">
        <f t="shared" si="9"/>
        <v>1070.0700000000002</v>
      </c>
      <c r="G359" s="94">
        <f t="shared" si="9"/>
        <v>826.2700000000001</v>
      </c>
      <c r="H359" s="95">
        <f t="shared" si="9"/>
        <v>636.53000000000009</v>
      </c>
    </row>
    <row r="360" spans="1:8" hidden="1" x14ac:dyDescent="0.2">
      <c r="A360" s="91">
        <v>32</v>
      </c>
      <c r="B360" s="93"/>
      <c r="C360" s="114">
        <f t="shared" si="9"/>
        <v>7796.3</v>
      </c>
      <c r="D360" s="94">
        <f t="shared" si="9"/>
        <v>1909.5900000000001</v>
      </c>
      <c r="E360" s="94">
        <f t="shared" si="9"/>
        <v>1462.27</v>
      </c>
      <c r="F360" s="94">
        <f t="shared" si="9"/>
        <v>1097.1000000000001</v>
      </c>
      <c r="G360" s="94">
        <f t="shared" si="9"/>
        <v>839.5200000000001</v>
      </c>
      <c r="H360" s="95">
        <f t="shared" si="9"/>
        <v>649.78000000000009</v>
      </c>
    </row>
    <row r="361" spans="1:8" hidden="1" x14ac:dyDescent="0.2">
      <c r="A361" s="91">
        <v>33</v>
      </c>
      <c r="B361" s="93"/>
      <c r="C361" s="114">
        <f t="shared" si="9"/>
        <v>8663.380000000001</v>
      </c>
      <c r="D361" s="94">
        <f t="shared" si="9"/>
        <v>1949.8700000000001</v>
      </c>
      <c r="E361" s="94">
        <f t="shared" si="9"/>
        <v>1503.0800000000002</v>
      </c>
      <c r="F361" s="94">
        <f t="shared" si="9"/>
        <v>1124.1300000000001</v>
      </c>
      <c r="G361" s="94">
        <f t="shared" si="9"/>
        <v>866.55000000000007</v>
      </c>
      <c r="H361" s="95">
        <f t="shared" si="9"/>
        <v>663.56000000000006</v>
      </c>
    </row>
    <row r="362" spans="1:8" hidden="1" x14ac:dyDescent="0.2">
      <c r="A362" s="91">
        <v>34</v>
      </c>
      <c r="B362" s="93"/>
      <c r="C362" s="114">
        <f t="shared" si="9"/>
        <v>9530.99</v>
      </c>
      <c r="D362" s="94">
        <f t="shared" si="9"/>
        <v>2003.93</v>
      </c>
      <c r="E362" s="94">
        <f t="shared" si="9"/>
        <v>1543.89</v>
      </c>
      <c r="F362" s="94">
        <f t="shared" si="9"/>
        <v>1164.4100000000001</v>
      </c>
      <c r="G362" s="94">
        <f t="shared" si="9"/>
        <v>893.58</v>
      </c>
      <c r="H362" s="95">
        <f t="shared" si="9"/>
        <v>677.34</v>
      </c>
    </row>
    <row r="363" spans="1:8" hidden="1" x14ac:dyDescent="0.2">
      <c r="A363" s="91">
        <v>35</v>
      </c>
      <c r="B363" s="93"/>
      <c r="C363" s="114">
        <f t="shared" si="9"/>
        <v>9964.5300000000007</v>
      </c>
      <c r="D363" s="94">
        <f t="shared" si="9"/>
        <v>2044.74</v>
      </c>
      <c r="E363" s="94">
        <f t="shared" si="9"/>
        <v>1584.17</v>
      </c>
      <c r="F363" s="94">
        <f t="shared" si="9"/>
        <v>1205.22</v>
      </c>
      <c r="G363" s="94">
        <f t="shared" si="9"/>
        <v>920.61</v>
      </c>
      <c r="H363" s="95">
        <f t="shared" si="9"/>
        <v>690.59</v>
      </c>
    </row>
    <row r="364" spans="1:8" hidden="1" x14ac:dyDescent="0.2">
      <c r="A364" s="91">
        <v>36</v>
      </c>
      <c r="B364" s="93"/>
      <c r="C364" s="114">
        <f t="shared" si="9"/>
        <v>10176</v>
      </c>
      <c r="D364" s="94">
        <f t="shared" si="9"/>
        <v>2098.8000000000002</v>
      </c>
      <c r="E364" s="94">
        <f t="shared" si="9"/>
        <v>1624.98</v>
      </c>
      <c r="F364" s="94">
        <f t="shared" si="9"/>
        <v>1232.25</v>
      </c>
      <c r="G364" s="94">
        <f t="shared" si="9"/>
        <v>948.17000000000007</v>
      </c>
      <c r="H364" s="95">
        <f t="shared" si="9"/>
        <v>704.37</v>
      </c>
    </row>
    <row r="365" spans="1:8" hidden="1" x14ac:dyDescent="0.2">
      <c r="A365" s="91">
        <v>37</v>
      </c>
      <c r="B365" s="93"/>
      <c r="C365" s="114">
        <f t="shared" si="9"/>
        <v>11449.59</v>
      </c>
      <c r="D365" s="94">
        <f t="shared" si="9"/>
        <v>2139.61</v>
      </c>
      <c r="E365" s="94">
        <f t="shared" si="9"/>
        <v>1665.7900000000002</v>
      </c>
      <c r="F365" s="94">
        <f t="shared" si="9"/>
        <v>1273.0600000000002</v>
      </c>
      <c r="G365" s="94">
        <f t="shared" si="9"/>
        <v>975.2</v>
      </c>
      <c r="H365" s="95">
        <f t="shared" si="9"/>
        <v>717.62</v>
      </c>
    </row>
    <row r="366" spans="1:8" hidden="1" x14ac:dyDescent="0.2">
      <c r="A366" s="91">
        <v>38</v>
      </c>
      <c r="B366" s="93"/>
      <c r="C366" s="114">
        <f t="shared" ref="C366:H369" si="10">+C294*$L$2</f>
        <v>12722.650000000001</v>
      </c>
      <c r="D366" s="94">
        <f t="shared" si="10"/>
        <v>2193.67</v>
      </c>
      <c r="E366" s="94">
        <f t="shared" si="10"/>
        <v>1706.0700000000002</v>
      </c>
      <c r="F366" s="94">
        <f t="shared" si="10"/>
        <v>1313.3400000000001</v>
      </c>
      <c r="G366" s="94">
        <f t="shared" si="10"/>
        <v>1002.23</v>
      </c>
      <c r="H366" s="95">
        <f t="shared" si="10"/>
        <v>744.65000000000009</v>
      </c>
    </row>
    <row r="367" spans="1:8" hidden="1" x14ac:dyDescent="0.2">
      <c r="A367" s="91">
        <v>39</v>
      </c>
      <c r="B367" s="93"/>
      <c r="C367" s="114">
        <f t="shared" si="10"/>
        <v>13995.710000000001</v>
      </c>
      <c r="D367" s="94">
        <f t="shared" si="10"/>
        <v>2247.73</v>
      </c>
      <c r="E367" s="94">
        <f t="shared" si="10"/>
        <v>1760.66</v>
      </c>
      <c r="F367" s="94">
        <f t="shared" si="10"/>
        <v>1354.15</v>
      </c>
      <c r="G367" s="94">
        <f t="shared" si="10"/>
        <v>1029.26</v>
      </c>
      <c r="H367" s="95">
        <f t="shared" si="10"/>
        <v>758.43000000000006</v>
      </c>
    </row>
    <row r="368" spans="1:8" hidden="1" x14ac:dyDescent="0.2">
      <c r="A368" s="91">
        <v>40</v>
      </c>
      <c r="B368" s="93"/>
      <c r="C368" s="114">
        <f t="shared" si="10"/>
        <v>15268.240000000002</v>
      </c>
      <c r="D368" s="94">
        <f t="shared" si="10"/>
        <v>2302.3200000000002</v>
      </c>
      <c r="E368" s="94">
        <f t="shared" si="10"/>
        <v>1814.72</v>
      </c>
      <c r="F368" s="94">
        <f t="shared" si="10"/>
        <v>1394.96</v>
      </c>
      <c r="G368" s="94">
        <f t="shared" si="10"/>
        <v>1070.0700000000002</v>
      </c>
      <c r="H368" s="95">
        <f t="shared" si="10"/>
        <v>771.68000000000006</v>
      </c>
    </row>
    <row r="369" spans="1:8" hidden="1" x14ac:dyDescent="0.2">
      <c r="A369" s="91">
        <v>41</v>
      </c>
      <c r="B369" s="93"/>
      <c r="C369" s="114">
        <f t="shared" si="10"/>
        <v>16671.68</v>
      </c>
      <c r="D369" s="94">
        <f t="shared" si="10"/>
        <v>2369.63</v>
      </c>
      <c r="E369" s="94">
        <f t="shared" si="10"/>
        <v>1855</v>
      </c>
      <c r="F369" s="94">
        <f t="shared" si="10"/>
        <v>1449.02</v>
      </c>
      <c r="G369" s="94">
        <f t="shared" si="10"/>
        <v>1097.1000000000001</v>
      </c>
      <c r="H369" s="95">
        <f t="shared" si="10"/>
        <v>785.46</v>
      </c>
    </row>
    <row r="370" spans="1:8" hidden="1" x14ac:dyDescent="0.2">
      <c r="A370" s="91">
        <v>42</v>
      </c>
      <c r="B370" s="93"/>
      <c r="C370" s="114"/>
      <c r="D370" s="94">
        <f t="shared" ref="D370:H370" si="11">+D298*$L$2</f>
        <v>2424.2200000000003</v>
      </c>
      <c r="E370" s="94">
        <f t="shared" si="11"/>
        <v>1909.5900000000001</v>
      </c>
      <c r="F370" s="94">
        <f t="shared" si="11"/>
        <v>1489.8300000000002</v>
      </c>
      <c r="G370" s="94">
        <f t="shared" si="11"/>
        <v>1137.3800000000001</v>
      </c>
      <c r="H370" s="95">
        <f t="shared" si="11"/>
        <v>812.49</v>
      </c>
    </row>
    <row r="371" spans="1:8" hidden="1" x14ac:dyDescent="0.2">
      <c r="A371" s="91">
        <v>43</v>
      </c>
      <c r="B371" s="93"/>
      <c r="C371" s="114"/>
      <c r="D371" s="94">
        <f t="shared" ref="D371:H371" si="12">+D299*$L$2</f>
        <v>2491.5300000000002</v>
      </c>
      <c r="E371" s="94">
        <f t="shared" si="12"/>
        <v>1963.65</v>
      </c>
      <c r="F371" s="94">
        <f t="shared" si="12"/>
        <v>1543.89</v>
      </c>
      <c r="G371" s="94">
        <f t="shared" si="12"/>
        <v>1178.19</v>
      </c>
      <c r="H371" s="95">
        <f t="shared" si="12"/>
        <v>826.2700000000001</v>
      </c>
    </row>
    <row r="372" spans="1:8" hidden="1" x14ac:dyDescent="0.2">
      <c r="A372" s="91">
        <v>44</v>
      </c>
      <c r="B372" s="93"/>
      <c r="C372" s="114"/>
      <c r="D372" s="94">
        <f t="shared" ref="D372:H372" si="13">+D300*$L$2</f>
        <v>2559.3700000000003</v>
      </c>
      <c r="E372" s="94">
        <f t="shared" si="13"/>
        <v>2031.49</v>
      </c>
      <c r="F372" s="94">
        <f t="shared" si="13"/>
        <v>1597.95</v>
      </c>
      <c r="G372" s="94">
        <f t="shared" si="13"/>
        <v>1219</v>
      </c>
      <c r="H372" s="95">
        <f t="shared" si="13"/>
        <v>853.30000000000007</v>
      </c>
    </row>
    <row r="373" spans="1:8" hidden="1" x14ac:dyDescent="0.2">
      <c r="A373" s="91">
        <v>45</v>
      </c>
      <c r="B373" s="93"/>
      <c r="C373" s="114"/>
      <c r="D373" s="94">
        <f t="shared" ref="D373:H373" si="14">+D301*$L$2</f>
        <v>2627.21</v>
      </c>
      <c r="E373" s="94">
        <f t="shared" si="14"/>
        <v>2085.5500000000002</v>
      </c>
      <c r="F373" s="94">
        <f t="shared" si="14"/>
        <v>1652.01</v>
      </c>
      <c r="G373" s="94">
        <f t="shared" si="14"/>
        <v>1259.28</v>
      </c>
      <c r="H373" s="95">
        <f t="shared" si="14"/>
        <v>866.55000000000007</v>
      </c>
    </row>
    <row r="374" spans="1:8" hidden="1" x14ac:dyDescent="0.2">
      <c r="A374" s="91">
        <v>46</v>
      </c>
      <c r="B374" s="93"/>
      <c r="C374" s="114"/>
      <c r="D374" s="94">
        <f t="shared" ref="D374:H374" si="15">+D302*$L$2</f>
        <v>2695.05</v>
      </c>
      <c r="E374" s="94">
        <f t="shared" si="15"/>
        <v>2153.3900000000003</v>
      </c>
      <c r="F374" s="94">
        <f t="shared" si="15"/>
        <v>1706.0700000000002</v>
      </c>
      <c r="G374" s="94">
        <f t="shared" si="15"/>
        <v>1300.0900000000001</v>
      </c>
      <c r="H374" s="95">
        <f t="shared" si="15"/>
        <v>893.58</v>
      </c>
    </row>
    <row r="375" spans="1:8" hidden="1" x14ac:dyDescent="0.2">
      <c r="A375" s="91">
        <v>47</v>
      </c>
      <c r="B375" s="93"/>
      <c r="C375" s="114"/>
      <c r="D375" s="94">
        <f t="shared" ref="D375:H375" si="16">+D303*$L$2</f>
        <v>2762.36</v>
      </c>
      <c r="E375" s="94">
        <f t="shared" si="16"/>
        <v>2207.4500000000003</v>
      </c>
      <c r="F375" s="94">
        <f t="shared" si="16"/>
        <v>1773.91</v>
      </c>
      <c r="G375" s="94">
        <f t="shared" si="16"/>
        <v>1340.9</v>
      </c>
      <c r="H375" s="95">
        <f t="shared" si="16"/>
        <v>907.36</v>
      </c>
    </row>
    <row r="376" spans="1:8" hidden="1" x14ac:dyDescent="0.2">
      <c r="A376" s="91">
        <v>48</v>
      </c>
      <c r="B376" s="93"/>
      <c r="C376" s="114"/>
      <c r="D376" s="94">
        <f t="shared" ref="D376:H376" si="17">+D304*$L$2</f>
        <v>2843.98</v>
      </c>
      <c r="E376" s="94">
        <f t="shared" si="17"/>
        <v>2288.54</v>
      </c>
      <c r="F376" s="94">
        <f t="shared" si="17"/>
        <v>1841.75</v>
      </c>
      <c r="G376" s="94">
        <f t="shared" si="17"/>
        <v>1394.96</v>
      </c>
      <c r="H376" s="95">
        <f t="shared" si="17"/>
        <v>934.3900000000001</v>
      </c>
    </row>
    <row r="377" spans="1:8" hidden="1" x14ac:dyDescent="0.2">
      <c r="A377" s="91">
        <v>49</v>
      </c>
      <c r="B377" s="93"/>
      <c r="C377" s="114"/>
      <c r="D377" s="94">
        <f t="shared" ref="D377:H377" si="18">+D305*$L$2</f>
        <v>2938.32</v>
      </c>
      <c r="E377" s="94">
        <f t="shared" si="18"/>
        <v>2369.63</v>
      </c>
      <c r="F377" s="94">
        <f t="shared" si="18"/>
        <v>1922.8400000000001</v>
      </c>
      <c r="G377" s="94">
        <f t="shared" si="18"/>
        <v>1449.02</v>
      </c>
      <c r="H377" s="95">
        <f t="shared" si="18"/>
        <v>961.42000000000007</v>
      </c>
    </row>
    <row r="378" spans="1:8" hidden="1" x14ac:dyDescent="0.2">
      <c r="A378" s="91">
        <v>50</v>
      </c>
      <c r="B378" s="93"/>
      <c r="C378" s="114"/>
      <c r="D378" s="94">
        <f t="shared" ref="D378:H378" si="19">+D306*$L$2</f>
        <v>3033.19</v>
      </c>
      <c r="E378" s="94">
        <f t="shared" si="19"/>
        <v>2451.25</v>
      </c>
      <c r="F378" s="94">
        <f t="shared" si="19"/>
        <v>2003.93</v>
      </c>
      <c r="G378" s="94">
        <f t="shared" si="19"/>
        <v>1503.0800000000002</v>
      </c>
      <c r="H378" s="95">
        <f t="shared" si="19"/>
        <v>988.45</v>
      </c>
    </row>
    <row r="379" spans="1:8" hidden="1" x14ac:dyDescent="0.2">
      <c r="A379" s="91">
        <v>51</v>
      </c>
      <c r="B379" s="93"/>
      <c r="C379" s="114"/>
      <c r="D379" s="94">
        <f t="shared" ref="D379:H379" si="20">+D307*$L$2</f>
        <v>3114.81</v>
      </c>
      <c r="E379" s="94">
        <f t="shared" si="20"/>
        <v>2532.34</v>
      </c>
      <c r="F379" s="94">
        <f t="shared" si="20"/>
        <v>2085.5500000000002</v>
      </c>
      <c r="G379" s="94">
        <f t="shared" si="20"/>
        <v>1557.14</v>
      </c>
      <c r="H379" s="95">
        <f t="shared" si="20"/>
        <v>1015.48</v>
      </c>
    </row>
    <row r="380" spans="1:8" hidden="1" x14ac:dyDescent="0.2">
      <c r="A380" s="91">
        <v>52</v>
      </c>
      <c r="B380" s="93"/>
      <c r="C380" s="114"/>
      <c r="D380" s="94">
        <f t="shared" ref="D380:H380" si="21">+D308*$L$2</f>
        <v>3209.6800000000003</v>
      </c>
      <c r="E380" s="94">
        <f t="shared" si="21"/>
        <v>2627.21</v>
      </c>
      <c r="F380" s="94">
        <f t="shared" si="21"/>
        <v>2153.3900000000003</v>
      </c>
      <c r="G380" s="94">
        <f t="shared" si="21"/>
        <v>1611.73</v>
      </c>
      <c r="H380" s="95">
        <f t="shared" si="21"/>
        <v>1042.51</v>
      </c>
    </row>
    <row r="381" spans="1:8" hidden="1" x14ac:dyDescent="0.2">
      <c r="A381" s="91">
        <v>53</v>
      </c>
      <c r="B381" s="93"/>
      <c r="C381" s="114"/>
      <c r="D381" s="94">
        <f t="shared" ref="D381:H381" si="22">+D309*$L$2</f>
        <v>3317.8</v>
      </c>
      <c r="E381" s="94">
        <f t="shared" si="22"/>
        <v>2722.08</v>
      </c>
      <c r="F381" s="94">
        <f t="shared" si="22"/>
        <v>2261.5100000000002</v>
      </c>
      <c r="G381" s="94">
        <f t="shared" si="22"/>
        <v>1692.8200000000002</v>
      </c>
      <c r="H381" s="95">
        <f t="shared" si="22"/>
        <v>1070.0700000000002</v>
      </c>
    </row>
    <row r="382" spans="1:8" hidden="1" x14ac:dyDescent="0.2">
      <c r="A382" s="91">
        <v>54</v>
      </c>
      <c r="B382" s="93"/>
      <c r="C382" s="114"/>
      <c r="D382" s="94">
        <f t="shared" ref="D382:H382" si="23">+D310*$L$2</f>
        <v>3439.7000000000003</v>
      </c>
      <c r="E382" s="94">
        <f t="shared" si="23"/>
        <v>2830.2000000000003</v>
      </c>
      <c r="F382" s="94">
        <f t="shared" si="23"/>
        <v>2356.38</v>
      </c>
      <c r="G382" s="94">
        <f t="shared" si="23"/>
        <v>1760.66</v>
      </c>
      <c r="H382" s="95">
        <f t="shared" si="23"/>
        <v>1110.3500000000001</v>
      </c>
    </row>
    <row r="383" spans="1:8" hidden="1" x14ac:dyDescent="0.2">
      <c r="A383" s="91">
        <v>55</v>
      </c>
      <c r="B383" s="93"/>
      <c r="C383" s="114"/>
      <c r="D383" s="94">
        <f t="shared" ref="D383:H383" si="24">+D311*$L$2</f>
        <v>3547.82</v>
      </c>
      <c r="E383" s="94">
        <f t="shared" si="24"/>
        <v>2938.32</v>
      </c>
      <c r="F383" s="94">
        <f t="shared" si="24"/>
        <v>2464.5</v>
      </c>
      <c r="G383" s="94">
        <f t="shared" si="24"/>
        <v>1827.97</v>
      </c>
      <c r="H383" s="95">
        <f t="shared" si="24"/>
        <v>1137.3800000000001</v>
      </c>
    </row>
    <row r="384" spans="1:8" hidden="1" x14ac:dyDescent="0.2">
      <c r="A384" s="91">
        <v>56</v>
      </c>
      <c r="B384" s="93"/>
      <c r="C384" s="114"/>
      <c r="D384" s="94">
        <f t="shared" ref="D384:H384" si="25">+D312*$L$2</f>
        <v>3656.4700000000003</v>
      </c>
      <c r="E384" s="94">
        <f t="shared" si="25"/>
        <v>3033.19</v>
      </c>
      <c r="F384" s="94">
        <f t="shared" si="25"/>
        <v>2559.3700000000003</v>
      </c>
      <c r="G384" s="94">
        <f t="shared" si="25"/>
        <v>1909.5900000000001</v>
      </c>
      <c r="H384" s="95">
        <f t="shared" si="25"/>
        <v>1178.19</v>
      </c>
    </row>
    <row r="385" spans="1:8" hidden="1" x14ac:dyDescent="0.2">
      <c r="A385" s="91">
        <v>57</v>
      </c>
      <c r="B385" s="93"/>
      <c r="C385" s="114"/>
      <c r="D385" s="94">
        <f t="shared" ref="D385:H385" si="26">+D313*$L$2</f>
        <v>3778.3700000000003</v>
      </c>
      <c r="E385" s="94">
        <f t="shared" si="26"/>
        <v>3141.84</v>
      </c>
      <c r="F385" s="94">
        <f t="shared" si="26"/>
        <v>2667.4900000000002</v>
      </c>
      <c r="G385" s="94">
        <f t="shared" si="26"/>
        <v>1976.9</v>
      </c>
      <c r="H385" s="95">
        <f t="shared" si="26"/>
        <v>1205.22</v>
      </c>
    </row>
    <row r="386" spans="1:8" hidden="1" x14ac:dyDescent="0.2">
      <c r="A386" s="91">
        <v>58</v>
      </c>
      <c r="B386" s="93"/>
      <c r="C386" s="114"/>
      <c r="D386" s="94">
        <f t="shared" ref="D386:H386" si="27">+D314*$L$2</f>
        <v>3927.3</v>
      </c>
      <c r="E386" s="94">
        <f t="shared" si="27"/>
        <v>3276.9900000000002</v>
      </c>
      <c r="F386" s="94">
        <f t="shared" si="27"/>
        <v>2803.17</v>
      </c>
      <c r="G386" s="94">
        <f t="shared" si="27"/>
        <v>2071.77</v>
      </c>
      <c r="H386" s="95">
        <f t="shared" si="27"/>
        <v>1246.03</v>
      </c>
    </row>
    <row r="387" spans="1:8" hidden="1" x14ac:dyDescent="0.2">
      <c r="A387" s="91">
        <v>59</v>
      </c>
      <c r="B387" s="93"/>
      <c r="C387" s="114"/>
      <c r="D387" s="94">
        <f t="shared" ref="D387:H387" si="28">+D315*$L$2</f>
        <v>4076.23</v>
      </c>
      <c r="E387" s="94">
        <f t="shared" si="28"/>
        <v>3412.67</v>
      </c>
      <c r="F387" s="94">
        <f t="shared" si="28"/>
        <v>2938.32</v>
      </c>
      <c r="G387" s="94">
        <f t="shared" si="28"/>
        <v>2166.6400000000003</v>
      </c>
      <c r="H387" s="95">
        <f t="shared" si="28"/>
        <v>1286.3100000000002</v>
      </c>
    </row>
    <row r="388" spans="1:8" hidden="1" x14ac:dyDescent="0.2">
      <c r="A388" s="91">
        <v>60</v>
      </c>
      <c r="B388" s="93"/>
      <c r="C388" s="114"/>
      <c r="D388" s="94">
        <f t="shared" ref="D388:H388" si="29">+D316*$L$2</f>
        <v>4211.38</v>
      </c>
      <c r="E388" s="94">
        <f t="shared" si="29"/>
        <v>3547.82</v>
      </c>
      <c r="F388" s="94">
        <f t="shared" si="29"/>
        <v>3074</v>
      </c>
      <c r="G388" s="94">
        <f t="shared" si="29"/>
        <v>2261.5100000000002</v>
      </c>
      <c r="H388" s="95">
        <f t="shared" si="29"/>
        <v>1327.1200000000001</v>
      </c>
    </row>
    <row r="389" spans="1:8" hidden="1" x14ac:dyDescent="0.2">
      <c r="A389" s="91">
        <v>61</v>
      </c>
      <c r="B389" s="93"/>
      <c r="C389" s="114"/>
      <c r="D389" s="94">
        <f t="shared" ref="D389:H389" si="30">+D317*$L$2</f>
        <v>4414.9000000000005</v>
      </c>
      <c r="E389" s="94">
        <f t="shared" si="30"/>
        <v>3737.5600000000004</v>
      </c>
      <c r="F389" s="94">
        <f t="shared" si="30"/>
        <v>3249.96</v>
      </c>
      <c r="G389" s="94">
        <f t="shared" si="30"/>
        <v>2396.6600000000003</v>
      </c>
      <c r="H389" s="95">
        <f t="shared" si="30"/>
        <v>1394.96</v>
      </c>
    </row>
    <row r="390" spans="1:8" hidden="1" x14ac:dyDescent="0.2">
      <c r="A390" s="91">
        <v>62</v>
      </c>
      <c r="B390" s="93"/>
      <c r="C390" s="114"/>
      <c r="D390" s="94">
        <f t="shared" ref="D390:H390" si="31">+D318*$L$2</f>
        <v>4685.7300000000005</v>
      </c>
      <c r="E390" s="94">
        <f t="shared" si="31"/>
        <v>3994.61</v>
      </c>
      <c r="F390" s="94">
        <f t="shared" si="31"/>
        <v>3520.79</v>
      </c>
      <c r="G390" s="94">
        <f t="shared" si="31"/>
        <v>2573.15</v>
      </c>
      <c r="H390" s="95">
        <f t="shared" si="31"/>
        <v>1462.27</v>
      </c>
    </row>
    <row r="391" spans="1:8" hidden="1" x14ac:dyDescent="0.2">
      <c r="A391" s="91">
        <v>63</v>
      </c>
      <c r="B391" s="93"/>
      <c r="C391" s="114"/>
      <c r="D391" s="94">
        <f t="shared" ref="D391:H391" si="32">+D319*$L$2</f>
        <v>5077.93</v>
      </c>
      <c r="E391" s="94">
        <f t="shared" si="32"/>
        <v>4360.3100000000004</v>
      </c>
      <c r="F391" s="94">
        <f t="shared" si="32"/>
        <v>3872.71</v>
      </c>
      <c r="G391" s="94">
        <f t="shared" si="32"/>
        <v>2843.98</v>
      </c>
      <c r="H391" s="95">
        <f t="shared" si="32"/>
        <v>1570.92</v>
      </c>
    </row>
    <row r="392" spans="1:8" hidden="1" x14ac:dyDescent="0.2">
      <c r="A392" s="91">
        <v>64</v>
      </c>
      <c r="B392" s="93"/>
      <c r="C392" s="114"/>
      <c r="D392" s="94">
        <f t="shared" ref="D392:H392" si="33">+D320*$L$2</f>
        <v>5620.12</v>
      </c>
      <c r="E392" s="94">
        <f t="shared" si="33"/>
        <v>4861.6900000000005</v>
      </c>
      <c r="F392" s="94">
        <f t="shared" si="33"/>
        <v>4360.3100000000004</v>
      </c>
      <c r="G392" s="94">
        <f t="shared" si="33"/>
        <v>3209.6800000000003</v>
      </c>
      <c r="H392" s="95">
        <f t="shared" si="33"/>
        <v>1733.1000000000001</v>
      </c>
    </row>
    <row r="393" spans="1:8" hidden="1" x14ac:dyDescent="0.2">
      <c r="A393" s="91">
        <v>65</v>
      </c>
      <c r="B393" s="93"/>
      <c r="C393" s="114"/>
      <c r="D393" s="94">
        <f t="shared" ref="D393:H393" si="34">+D321*$L$2</f>
        <v>6310.71</v>
      </c>
      <c r="E393" s="94">
        <f t="shared" si="34"/>
        <v>5538.5</v>
      </c>
      <c r="F393" s="94">
        <f t="shared" si="34"/>
        <v>4983.59</v>
      </c>
      <c r="G393" s="94">
        <f t="shared" si="34"/>
        <v>3683.5</v>
      </c>
      <c r="H393" s="95">
        <f t="shared" si="34"/>
        <v>1949.8700000000001</v>
      </c>
    </row>
    <row r="394" spans="1:8" hidden="1" x14ac:dyDescent="0.2">
      <c r="A394" s="91">
        <v>66</v>
      </c>
      <c r="B394" s="93"/>
      <c r="C394" s="114"/>
      <c r="D394" s="94">
        <f t="shared" ref="D394:H394" si="35">+D322*$L$2</f>
        <v>7163.4800000000005</v>
      </c>
      <c r="E394" s="94">
        <f t="shared" si="35"/>
        <v>6364.77</v>
      </c>
      <c r="F394" s="94">
        <f t="shared" si="35"/>
        <v>5728.2400000000007</v>
      </c>
      <c r="G394" s="94">
        <f t="shared" si="35"/>
        <v>4265.4400000000005</v>
      </c>
      <c r="H394" s="95">
        <f t="shared" si="35"/>
        <v>2220.7000000000003</v>
      </c>
    </row>
    <row r="395" spans="1:8" hidden="1" x14ac:dyDescent="0.2">
      <c r="A395" s="91">
        <v>67</v>
      </c>
      <c r="B395" s="93"/>
      <c r="C395" s="114"/>
      <c r="D395" s="94">
        <f t="shared" ref="D395:H395" si="36">+D323*$L$2</f>
        <v>8111.6500000000005</v>
      </c>
      <c r="E395" s="94">
        <f t="shared" si="36"/>
        <v>7285.38</v>
      </c>
      <c r="F395" s="94">
        <f t="shared" si="36"/>
        <v>6567.76</v>
      </c>
      <c r="G395" s="94">
        <f t="shared" si="36"/>
        <v>4915.75</v>
      </c>
      <c r="H395" s="95">
        <f t="shared" si="36"/>
        <v>2546.1200000000003</v>
      </c>
    </row>
    <row r="396" spans="1:8" hidden="1" x14ac:dyDescent="0.2">
      <c r="A396" s="91">
        <v>68</v>
      </c>
      <c r="B396" s="93"/>
      <c r="C396" s="114"/>
      <c r="D396" s="94">
        <f t="shared" ref="D396:H396" si="37">+D324*$L$2</f>
        <v>9127.130000000001</v>
      </c>
      <c r="E396" s="94">
        <f t="shared" si="37"/>
        <v>8301.3900000000012</v>
      </c>
      <c r="F396" s="94">
        <f t="shared" si="37"/>
        <v>7475.1200000000008</v>
      </c>
      <c r="G396" s="94">
        <f t="shared" si="37"/>
        <v>5606.34</v>
      </c>
      <c r="H396" s="95">
        <f t="shared" si="37"/>
        <v>2884.26</v>
      </c>
    </row>
    <row r="397" spans="1:8" hidden="1" x14ac:dyDescent="0.2">
      <c r="A397" s="91">
        <v>69</v>
      </c>
      <c r="B397" s="93"/>
      <c r="C397" s="114"/>
      <c r="D397" s="94">
        <f t="shared" ref="D397:H397" si="38">+D325*$L$2</f>
        <v>10197.200000000001</v>
      </c>
      <c r="E397" s="94">
        <f t="shared" si="38"/>
        <v>9370.93</v>
      </c>
      <c r="F397" s="94">
        <f t="shared" si="38"/>
        <v>8409.51</v>
      </c>
      <c r="G397" s="94">
        <f t="shared" si="38"/>
        <v>6350.9900000000007</v>
      </c>
      <c r="H397" s="95">
        <f t="shared" si="38"/>
        <v>3263.7400000000002</v>
      </c>
    </row>
    <row r="398" spans="1:8" hidden="1" x14ac:dyDescent="0.2">
      <c r="A398" s="91">
        <v>70</v>
      </c>
      <c r="B398" s="93"/>
      <c r="C398" s="114"/>
      <c r="D398" s="94">
        <f t="shared" ref="D398:H398" si="39">+D326*$L$2</f>
        <v>11307.550000000001</v>
      </c>
      <c r="E398" s="94">
        <f t="shared" si="39"/>
        <v>10468.030000000001</v>
      </c>
      <c r="F398" s="94">
        <f t="shared" si="39"/>
        <v>9384.7100000000009</v>
      </c>
      <c r="G398" s="94">
        <f t="shared" si="39"/>
        <v>7109.42</v>
      </c>
      <c r="H398" s="95">
        <f t="shared" si="39"/>
        <v>3642.69</v>
      </c>
    </row>
    <row r="399" spans="1:8" hidden="1" x14ac:dyDescent="0.2">
      <c r="A399" s="91">
        <v>71</v>
      </c>
      <c r="B399" s="93"/>
      <c r="C399" s="114"/>
      <c r="D399" s="94">
        <f t="shared" ref="D399:H399" si="40">+D327*$L$2</f>
        <v>12444.93</v>
      </c>
      <c r="E399" s="94">
        <f t="shared" si="40"/>
        <v>11605.41</v>
      </c>
      <c r="F399" s="94">
        <f t="shared" si="40"/>
        <v>10386.41</v>
      </c>
      <c r="G399" s="94">
        <f t="shared" si="40"/>
        <v>7894.88</v>
      </c>
      <c r="H399" s="95">
        <f t="shared" si="40"/>
        <v>4035.42</v>
      </c>
    </row>
    <row r="400" spans="1:8" hidden="1" x14ac:dyDescent="0.2">
      <c r="A400" s="91">
        <v>72</v>
      </c>
      <c r="B400" s="93"/>
      <c r="C400" s="114"/>
      <c r="D400" s="94">
        <f t="shared" ref="D400:H400" si="41">+D328*$L$2</f>
        <v>13623.12</v>
      </c>
      <c r="E400" s="94">
        <f t="shared" si="41"/>
        <v>12769.820000000002</v>
      </c>
      <c r="F400" s="94">
        <f t="shared" si="41"/>
        <v>11415.67</v>
      </c>
      <c r="G400" s="94">
        <f t="shared" si="41"/>
        <v>8694.1200000000008</v>
      </c>
      <c r="H400" s="95">
        <f t="shared" si="41"/>
        <v>4455.18</v>
      </c>
    </row>
    <row r="401" spans="1:8" hidden="1" x14ac:dyDescent="0.2">
      <c r="A401" s="91">
        <v>73</v>
      </c>
      <c r="B401" s="93"/>
      <c r="C401" s="114"/>
      <c r="D401" s="94">
        <f t="shared" ref="D401:H401" si="42">+D329*$L$2</f>
        <v>14814.560000000001</v>
      </c>
      <c r="E401" s="94">
        <f t="shared" si="42"/>
        <v>13961.79</v>
      </c>
      <c r="F401" s="94">
        <f t="shared" si="42"/>
        <v>12471.960000000001</v>
      </c>
      <c r="G401" s="94">
        <f t="shared" si="42"/>
        <v>9519.86</v>
      </c>
      <c r="H401" s="95">
        <f t="shared" si="42"/>
        <v>4874.9400000000005</v>
      </c>
    </row>
    <row r="402" spans="1:8" hidden="1" x14ac:dyDescent="0.2">
      <c r="A402" s="91">
        <v>74</v>
      </c>
      <c r="B402" s="93"/>
      <c r="C402" s="114"/>
      <c r="D402" s="94">
        <f t="shared" ref="D402:H402" si="43">+D330*$L$2</f>
        <v>16033.560000000001</v>
      </c>
      <c r="E402" s="94">
        <f t="shared" si="43"/>
        <v>15180.26</v>
      </c>
      <c r="F402" s="94">
        <f t="shared" si="43"/>
        <v>13542.03</v>
      </c>
      <c r="G402" s="94">
        <f t="shared" si="43"/>
        <v>10359.380000000001</v>
      </c>
      <c r="H402" s="95">
        <f t="shared" si="43"/>
        <v>5294.7</v>
      </c>
    </row>
    <row r="403" spans="1:8" hidden="1" x14ac:dyDescent="0.2">
      <c r="A403" s="91">
        <v>75</v>
      </c>
      <c r="B403" s="93"/>
      <c r="C403" s="114"/>
      <c r="D403" s="94">
        <f t="shared" ref="D403:H403" si="44">+D331*$L$2</f>
        <v>17279.59</v>
      </c>
      <c r="E403" s="94">
        <f t="shared" si="44"/>
        <v>16426.29</v>
      </c>
      <c r="F403" s="94">
        <f t="shared" si="44"/>
        <v>14625.35</v>
      </c>
      <c r="G403" s="94">
        <f t="shared" si="44"/>
        <v>11212.68</v>
      </c>
      <c r="H403" s="95">
        <f t="shared" si="44"/>
        <v>5741.4900000000007</v>
      </c>
    </row>
    <row r="404" spans="1:8" hidden="1" x14ac:dyDescent="0.2">
      <c r="A404" s="91">
        <v>76</v>
      </c>
      <c r="B404" s="93"/>
      <c r="C404" s="114"/>
      <c r="D404" s="94">
        <f t="shared" ref="D404:H404" si="45">+D332*$L$2</f>
        <v>18538.870000000003</v>
      </c>
      <c r="E404" s="94">
        <f t="shared" si="45"/>
        <v>17685.57</v>
      </c>
      <c r="F404" s="94">
        <f t="shared" si="45"/>
        <v>15735.7</v>
      </c>
      <c r="G404" s="94">
        <f t="shared" si="45"/>
        <v>12079.230000000001</v>
      </c>
      <c r="H404" s="95">
        <f t="shared" si="45"/>
        <v>6188.81</v>
      </c>
    </row>
    <row r="405" spans="1:8" hidden="1" x14ac:dyDescent="0.2">
      <c r="A405" s="91">
        <v>77</v>
      </c>
      <c r="B405" s="93"/>
      <c r="C405" s="114"/>
      <c r="D405" s="94">
        <f t="shared" ref="D405:H405" si="46">+D333*$L$2</f>
        <v>19825.18</v>
      </c>
      <c r="E405" s="94">
        <f t="shared" si="46"/>
        <v>18958.63</v>
      </c>
      <c r="F405" s="94">
        <f t="shared" si="46"/>
        <v>16859.830000000002</v>
      </c>
      <c r="G405" s="94">
        <f t="shared" si="46"/>
        <v>12945.78</v>
      </c>
      <c r="H405" s="95">
        <f t="shared" si="46"/>
        <v>6635.6</v>
      </c>
    </row>
    <row r="406" spans="1:8" hidden="1" x14ac:dyDescent="0.2">
      <c r="A406" s="91">
        <v>78</v>
      </c>
      <c r="B406" s="93"/>
      <c r="C406" s="114"/>
      <c r="D406" s="94">
        <f t="shared" ref="D406:H406" si="47">+D334*$L$2</f>
        <v>21111.49</v>
      </c>
      <c r="E406" s="94">
        <f t="shared" si="47"/>
        <v>20258.72</v>
      </c>
      <c r="F406" s="94">
        <f t="shared" si="47"/>
        <v>17997.21</v>
      </c>
      <c r="G406" s="94">
        <f t="shared" si="47"/>
        <v>13839.890000000001</v>
      </c>
      <c r="H406" s="95">
        <f t="shared" si="47"/>
        <v>7096.17</v>
      </c>
    </row>
    <row r="407" spans="1:8" hidden="1" x14ac:dyDescent="0.2">
      <c r="A407" s="91">
        <v>79</v>
      </c>
      <c r="B407" s="93"/>
      <c r="C407" s="114"/>
      <c r="D407" s="94">
        <f t="shared" ref="D407:H407" si="48">+D335*$L$2</f>
        <v>22425.360000000001</v>
      </c>
      <c r="E407" s="94">
        <f t="shared" si="48"/>
        <v>21558.81</v>
      </c>
      <c r="F407" s="94">
        <f t="shared" si="48"/>
        <v>19134.59</v>
      </c>
      <c r="G407" s="94">
        <f t="shared" si="48"/>
        <v>14733.470000000001</v>
      </c>
      <c r="H407" s="95">
        <f t="shared" si="48"/>
        <v>7556.21</v>
      </c>
    </row>
    <row r="408" spans="1:8" hidden="1" x14ac:dyDescent="0.2">
      <c r="A408" s="91">
        <v>80</v>
      </c>
      <c r="B408" s="158" t="s">
        <v>198</v>
      </c>
      <c r="C408" s="114"/>
      <c r="D408" s="94">
        <f t="shared" ref="D408:H408" si="49">+D336*$L$2</f>
        <v>23738.7</v>
      </c>
      <c r="E408" s="94">
        <f t="shared" si="49"/>
        <v>22885.93</v>
      </c>
      <c r="F408" s="94">
        <f t="shared" si="49"/>
        <v>20299</v>
      </c>
      <c r="G408" s="94">
        <f t="shared" si="49"/>
        <v>15640.83</v>
      </c>
      <c r="H408" s="95">
        <f t="shared" si="49"/>
        <v>8030.56</v>
      </c>
    </row>
    <row r="409" spans="1:8" hidden="1" x14ac:dyDescent="0.2">
      <c r="A409" s="91">
        <v>1</v>
      </c>
      <c r="B409" s="93" t="s">
        <v>13</v>
      </c>
      <c r="C409" s="114">
        <f t="shared" ref="C409:H413" si="50">+C337*$L$2</f>
        <v>683.7</v>
      </c>
      <c r="D409" s="94">
        <f t="shared" si="50"/>
        <v>690.59</v>
      </c>
      <c r="E409" s="94">
        <f t="shared" si="50"/>
        <v>500.85</v>
      </c>
      <c r="F409" s="94">
        <f t="shared" si="50"/>
        <v>378.95000000000005</v>
      </c>
      <c r="G409" s="94">
        <f t="shared" si="50"/>
        <v>338.67</v>
      </c>
      <c r="H409" s="95">
        <f t="shared" si="50"/>
        <v>243.8</v>
      </c>
    </row>
    <row r="410" spans="1:8" hidden="1" x14ac:dyDescent="0.2">
      <c r="A410" s="91">
        <v>2</v>
      </c>
      <c r="B410" s="93" t="s">
        <v>1</v>
      </c>
      <c r="C410" s="114">
        <f t="shared" si="50"/>
        <v>1052.5800000000002</v>
      </c>
      <c r="D410" s="94">
        <f t="shared" si="50"/>
        <v>1137.3800000000001</v>
      </c>
      <c r="E410" s="94">
        <f t="shared" si="50"/>
        <v>785.46</v>
      </c>
      <c r="F410" s="94">
        <f t="shared" si="50"/>
        <v>595.72</v>
      </c>
      <c r="G410" s="94">
        <f t="shared" si="50"/>
        <v>527.88</v>
      </c>
      <c r="H410" s="95">
        <f t="shared" si="50"/>
        <v>351.92</v>
      </c>
    </row>
    <row r="411" spans="1:8" hidden="1" x14ac:dyDescent="0.2">
      <c r="A411" s="91">
        <v>3</v>
      </c>
      <c r="B411" s="93" t="s">
        <v>14</v>
      </c>
      <c r="C411" s="114">
        <f t="shared" si="50"/>
        <v>1537</v>
      </c>
      <c r="D411" s="94">
        <f t="shared" si="50"/>
        <v>1665.7900000000002</v>
      </c>
      <c r="E411" s="94">
        <f t="shared" si="50"/>
        <v>1137.3800000000001</v>
      </c>
      <c r="F411" s="94">
        <f t="shared" si="50"/>
        <v>880.33</v>
      </c>
      <c r="G411" s="94">
        <f t="shared" si="50"/>
        <v>771.68000000000006</v>
      </c>
      <c r="H411" s="95">
        <f t="shared" si="50"/>
        <v>541.66000000000008</v>
      </c>
    </row>
    <row r="412" spans="1:8" hidden="1" x14ac:dyDescent="0.2">
      <c r="A412" s="91">
        <v>1</v>
      </c>
      <c r="B412" s="93" t="s">
        <v>3</v>
      </c>
      <c r="C412" s="114">
        <f t="shared" si="50"/>
        <v>119.25</v>
      </c>
      <c r="D412" s="94">
        <f t="shared" si="50"/>
        <v>119.25</v>
      </c>
      <c r="E412" s="94">
        <f t="shared" si="50"/>
        <v>119.25</v>
      </c>
      <c r="F412" s="94">
        <f t="shared" si="50"/>
        <v>119.25</v>
      </c>
      <c r="G412" s="94">
        <f t="shared" si="50"/>
        <v>119.25</v>
      </c>
      <c r="H412" s="95">
        <f t="shared" si="50"/>
        <v>119.25</v>
      </c>
    </row>
    <row r="413" spans="1:8" ht="13.5" hidden="1" thickBot="1" x14ac:dyDescent="0.25">
      <c r="A413" s="98">
        <v>1</v>
      </c>
      <c r="B413" s="99" t="s">
        <v>2</v>
      </c>
      <c r="C413" s="121">
        <f t="shared" si="50"/>
        <v>132.5</v>
      </c>
      <c r="D413" s="100">
        <f t="shared" si="50"/>
        <v>159</v>
      </c>
      <c r="E413" s="100">
        <f t="shared" si="50"/>
        <v>159</v>
      </c>
      <c r="F413" s="100">
        <f t="shared" si="50"/>
        <v>159</v>
      </c>
      <c r="G413" s="100">
        <f t="shared" si="50"/>
        <v>159</v>
      </c>
      <c r="H413" s="101">
        <f t="shared" si="50"/>
        <v>159</v>
      </c>
    </row>
    <row r="414" spans="1:8" ht="13.5" hidden="1" thickBot="1" x14ac:dyDescent="0.25">
      <c r="A414" s="98"/>
      <c r="B414" s="162" t="s">
        <v>195</v>
      </c>
      <c r="C414" s="121"/>
      <c r="D414" s="100">
        <f>+D342*$L$2</f>
        <v>95.4</v>
      </c>
      <c r="E414" s="100">
        <f>+E342*$L$2</f>
        <v>182.85000000000002</v>
      </c>
      <c r="F414" s="100">
        <f>+F342*$L$2</f>
        <v>410.75</v>
      </c>
      <c r="G414" s="100">
        <f>+G342*$L$2</f>
        <v>704.90000000000009</v>
      </c>
      <c r="H414" s="101">
        <f>+H342*$L$2</f>
        <v>1102.4000000000001</v>
      </c>
    </row>
    <row r="415" spans="1:8" ht="13.5" hidden="1" thickBot="1" x14ac:dyDescent="0.25"/>
    <row r="416" spans="1:8" ht="18" hidden="1" x14ac:dyDescent="0.25">
      <c r="A416" s="335" t="s">
        <v>62</v>
      </c>
      <c r="B416" s="336"/>
      <c r="C416" s="336"/>
      <c r="D416" s="336"/>
      <c r="E416" s="336"/>
      <c r="F416" s="336"/>
      <c r="G416" s="336"/>
      <c r="H416" s="337"/>
    </row>
    <row r="417" spans="1:15" ht="18" hidden="1" x14ac:dyDescent="0.25">
      <c r="A417" s="330" t="s">
        <v>28</v>
      </c>
      <c r="B417" s="331"/>
      <c r="C417" s="331"/>
      <c r="D417" s="331"/>
      <c r="E417" s="331"/>
      <c r="F417" s="331"/>
      <c r="G417" s="331"/>
      <c r="H417" s="332"/>
    </row>
    <row r="418" spans="1:15" hidden="1" x14ac:dyDescent="0.2">
      <c r="A418" s="333" t="s">
        <v>0</v>
      </c>
      <c r="B418" s="334"/>
      <c r="C418" s="334"/>
      <c r="D418" s="334"/>
      <c r="E418" s="334"/>
      <c r="F418" s="334"/>
      <c r="G418" s="334"/>
      <c r="H418" s="108"/>
    </row>
    <row r="419" spans="1:15" hidden="1" x14ac:dyDescent="0.2">
      <c r="A419" s="109" t="s">
        <v>4</v>
      </c>
      <c r="B419" s="110" t="s">
        <v>4</v>
      </c>
      <c r="C419" s="152" t="s">
        <v>63</v>
      </c>
      <c r="D419" s="152" t="s">
        <v>64</v>
      </c>
      <c r="E419" s="152" t="s">
        <v>65</v>
      </c>
      <c r="F419" s="152" t="s">
        <v>66</v>
      </c>
      <c r="G419" s="152" t="s">
        <v>67</v>
      </c>
      <c r="H419" s="108" t="s">
        <v>68</v>
      </c>
    </row>
    <row r="420" spans="1:15" hidden="1" x14ac:dyDescent="0.2">
      <c r="A420" s="109">
        <v>18</v>
      </c>
      <c r="B420" s="113" t="s">
        <v>152</v>
      </c>
      <c r="C420" s="114">
        <v>2323</v>
      </c>
      <c r="D420" s="153">
        <v>3529</v>
      </c>
      <c r="E420" s="153">
        <v>2653</v>
      </c>
      <c r="F420" s="153">
        <v>2029</v>
      </c>
      <c r="G420" s="153">
        <v>1555</v>
      </c>
      <c r="H420" s="153">
        <v>1231</v>
      </c>
      <c r="J420" s="107"/>
      <c r="K420" s="107"/>
      <c r="L420" s="107"/>
      <c r="M420" s="107"/>
      <c r="N420" s="107"/>
      <c r="O420" s="107"/>
    </row>
    <row r="421" spans="1:15" hidden="1" x14ac:dyDescent="0.2">
      <c r="A421" s="109">
        <v>25</v>
      </c>
      <c r="B421" s="113" t="s">
        <v>5</v>
      </c>
      <c r="C421" s="114">
        <v>2595</v>
      </c>
      <c r="D421" s="153">
        <v>3931</v>
      </c>
      <c r="E421" s="153">
        <v>2960</v>
      </c>
      <c r="F421" s="153">
        <v>2256</v>
      </c>
      <c r="G421" s="153">
        <v>1736</v>
      </c>
      <c r="H421" s="153">
        <v>1363</v>
      </c>
      <c r="J421" s="107"/>
      <c r="K421" s="107"/>
      <c r="L421" s="107"/>
      <c r="M421" s="107"/>
      <c r="N421" s="107"/>
      <c r="O421" s="107"/>
    </row>
    <row r="422" spans="1:15" hidden="1" x14ac:dyDescent="0.2">
      <c r="A422" s="109">
        <v>30</v>
      </c>
      <c r="B422" s="113" t="s">
        <v>6</v>
      </c>
      <c r="C422" s="114">
        <v>3035</v>
      </c>
      <c r="D422" s="153">
        <v>4550</v>
      </c>
      <c r="E422" s="153">
        <v>3480</v>
      </c>
      <c r="F422" s="153">
        <v>2690</v>
      </c>
      <c r="G422" s="153">
        <v>2059</v>
      </c>
      <c r="H422" s="153">
        <v>1587</v>
      </c>
      <c r="J422" s="107"/>
      <c r="K422" s="107"/>
      <c r="L422" s="107"/>
      <c r="M422" s="107"/>
      <c r="N422" s="107"/>
      <c r="O422" s="107"/>
    </row>
    <row r="423" spans="1:15" hidden="1" x14ac:dyDescent="0.2">
      <c r="A423" s="109">
        <v>35</v>
      </c>
      <c r="B423" s="113" t="s">
        <v>7</v>
      </c>
      <c r="C423" s="114">
        <v>3425</v>
      </c>
      <c r="D423" s="153">
        <v>5045</v>
      </c>
      <c r="E423" s="153">
        <v>3876</v>
      </c>
      <c r="F423" s="153">
        <v>2993</v>
      </c>
      <c r="G423" s="153">
        <v>2348</v>
      </c>
      <c r="H423" s="153">
        <v>1760</v>
      </c>
      <c r="J423" s="107"/>
      <c r="K423" s="107"/>
      <c r="L423" s="107"/>
      <c r="M423" s="107"/>
      <c r="N423" s="107"/>
      <c r="O423" s="107"/>
    </row>
    <row r="424" spans="1:15" hidden="1" x14ac:dyDescent="0.2">
      <c r="A424" s="109">
        <v>40</v>
      </c>
      <c r="B424" s="113" t="s">
        <v>8</v>
      </c>
      <c r="C424" s="114">
        <v>3878</v>
      </c>
      <c r="D424" s="153">
        <v>5694</v>
      </c>
      <c r="E424" s="153">
        <v>4395</v>
      </c>
      <c r="F424" s="153">
        <v>3396</v>
      </c>
      <c r="G424" s="153">
        <v>2625</v>
      </c>
      <c r="H424" s="153">
        <v>1992</v>
      </c>
      <c r="J424" s="107"/>
      <c r="K424" s="107"/>
      <c r="L424" s="107"/>
      <c r="M424" s="107"/>
      <c r="N424" s="107"/>
      <c r="O424" s="107"/>
    </row>
    <row r="425" spans="1:15" hidden="1" x14ac:dyDescent="0.2">
      <c r="A425" s="109">
        <v>45</v>
      </c>
      <c r="B425" s="113" t="s">
        <v>9</v>
      </c>
      <c r="C425" s="114">
        <v>4483</v>
      </c>
      <c r="D425" s="153">
        <v>6617</v>
      </c>
      <c r="E425" s="153">
        <v>5063</v>
      </c>
      <c r="F425" s="153">
        <v>3827</v>
      </c>
      <c r="G425" s="153">
        <v>2988</v>
      </c>
      <c r="H425" s="153">
        <v>2317</v>
      </c>
      <c r="J425" s="107"/>
      <c r="K425" s="107"/>
      <c r="L425" s="107"/>
      <c r="M425" s="107"/>
      <c r="N425" s="107"/>
      <c r="O425" s="107"/>
    </row>
    <row r="426" spans="1:15" hidden="1" x14ac:dyDescent="0.2">
      <c r="A426" s="109">
        <v>50</v>
      </c>
      <c r="B426" s="113" t="s">
        <v>10</v>
      </c>
      <c r="C426" s="114">
        <v>5074</v>
      </c>
      <c r="D426" s="153">
        <v>7252</v>
      </c>
      <c r="E426" s="153">
        <v>5692</v>
      </c>
      <c r="F426" s="153">
        <v>4463</v>
      </c>
      <c r="G426" s="153">
        <v>3354</v>
      </c>
      <c r="H426" s="153">
        <v>2545</v>
      </c>
      <c r="J426" s="107"/>
      <c r="K426" s="107"/>
      <c r="L426" s="107"/>
      <c r="M426" s="107"/>
      <c r="N426" s="107"/>
      <c r="O426" s="107"/>
    </row>
    <row r="427" spans="1:15" hidden="1" x14ac:dyDescent="0.2">
      <c r="A427" s="109">
        <v>55</v>
      </c>
      <c r="B427" s="113" t="s">
        <v>11</v>
      </c>
      <c r="C427" s="114">
        <v>5880</v>
      </c>
      <c r="D427" s="153">
        <v>8569</v>
      </c>
      <c r="E427" s="153">
        <v>6573</v>
      </c>
      <c r="F427" s="153">
        <v>4936</v>
      </c>
      <c r="G427" s="153">
        <v>3891</v>
      </c>
      <c r="H427" s="153">
        <v>3010</v>
      </c>
      <c r="J427" s="107"/>
      <c r="K427" s="107"/>
      <c r="L427" s="107"/>
      <c r="M427" s="107"/>
      <c r="N427" s="107"/>
      <c r="O427" s="107"/>
    </row>
    <row r="428" spans="1:15" hidden="1" x14ac:dyDescent="0.2">
      <c r="A428" s="109">
        <v>60</v>
      </c>
      <c r="B428" s="113"/>
      <c r="C428" s="114">
        <v>6256</v>
      </c>
      <c r="D428" s="153">
        <v>9468</v>
      </c>
      <c r="E428" s="153">
        <v>7278</v>
      </c>
      <c r="F428" s="153">
        <v>5429</v>
      </c>
      <c r="G428" s="153">
        <v>4290</v>
      </c>
      <c r="H428" s="153">
        <v>3333</v>
      </c>
      <c r="J428" s="107"/>
      <c r="K428" s="107"/>
      <c r="L428" s="107"/>
      <c r="M428" s="107"/>
      <c r="N428" s="107"/>
      <c r="O428" s="107"/>
    </row>
    <row r="429" spans="1:15" hidden="1" x14ac:dyDescent="0.2">
      <c r="A429" s="109">
        <v>61</v>
      </c>
      <c r="B429" s="113"/>
      <c r="C429" s="114">
        <v>7042</v>
      </c>
      <c r="D429" s="153">
        <v>10658</v>
      </c>
      <c r="E429" s="153">
        <v>8188</v>
      </c>
      <c r="F429" s="153">
        <v>6113</v>
      </c>
      <c r="G429" s="153">
        <v>4832</v>
      </c>
      <c r="H429" s="153">
        <v>3756</v>
      </c>
      <c r="J429" s="107"/>
      <c r="K429" s="107"/>
      <c r="L429" s="107"/>
      <c r="M429" s="107"/>
      <c r="N429" s="107"/>
      <c r="O429" s="107"/>
    </row>
    <row r="430" spans="1:15" hidden="1" x14ac:dyDescent="0.2">
      <c r="A430" s="109">
        <v>62</v>
      </c>
      <c r="B430" s="113"/>
      <c r="C430" s="114">
        <v>7827</v>
      </c>
      <c r="D430" s="153">
        <v>11845</v>
      </c>
      <c r="E430" s="153">
        <v>9109</v>
      </c>
      <c r="F430" s="153">
        <v>6796</v>
      </c>
      <c r="G430" s="153">
        <v>5373</v>
      </c>
      <c r="H430" s="153">
        <v>4175</v>
      </c>
      <c r="J430" s="107"/>
      <c r="K430" s="107"/>
      <c r="L430" s="107"/>
      <c r="M430" s="107"/>
      <c r="N430" s="107"/>
      <c r="O430" s="107"/>
    </row>
    <row r="431" spans="1:15" hidden="1" x14ac:dyDescent="0.2">
      <c r="A431" s="109">
        <v>63</v>
      </c>
      <c r="B431" s="113"/>
      <c r="C431" s="114">
        <v>8613</v>
      </c>
      <c r="D431" s="153">
        <v>13033</v>
      </c>
      <c r="E431" s="153">
        <v>10021</v>
      </c>
      <c r="F431" s="153">
        <v>7480</v>
      </c>
      <c r="G431" s="153">
        <v>5914</v>
      </c>
      <c r="H431" s="153">
        <v>4598</v>
      </c>
      <c r="J431" s="107"/>
      <c r="K431" s="107"/>
      <c r="L431" s="107"/>
      <c r="M431" s="107"/>
      <c r="N431" s="107"/>
      <c r="O431" s="107"/>
    </row>
    <row r="432" spans="1:15" hidden="1" x14ac:dyDescent="0.2">
      <c r="A432" s="109">
        <v>64</v>
      </c>
      <c r="B432" s="113"/>
      <c r="C432" s="114">
        <v>9397</v>
      </c>
      <c r="D432" s="153">
        <v>14223</v>
      </c>
      <c r="E432" s="153">
        <v>10937</v>
      </c>
      <c r="F432" s="153">
        <v>8165</v>
      </c>
      <c r="G432" s="153">
        <v>6457</v>
      </c>
      <c r="H432" s="153">
        <v>5014</v>
      </c>
      <c r="J432" s="107"/>
      <c r="K432" s="107"/>
      <c r="L432" s="107"/>
      <c r="M432" s="107"/>
      <c r="N432" s="107"/>
      <c r="O432" s="107"/>
    </row>
    <row r="433" spans="1:15" hidden="1" x14ac:dyDescent="0.2">
      <c r="A433" s="109">
        <v>65</v>
      </c>
      <c r="B433" s="113"/>
      <c r="C433" s="114">
        <v>10323</v>
      </c>
      <c r="D433" s="153">
        <v>15378</v>
      </c>
      <c r="E433" s="153">
        <v>11902</v>
      </c>
      <c r="F433" s="153">
        <v>8897</v>
      </c>
      <c r="G433" s="153">
        <v>7032</v>
      </c>
      <c r="H433" s="153">
        <v>5708</v>
      </c>
      <c r="J433" s="107"/>
      <c r="K433" s="107"/>
      <c r="L433" s="107"/>
      <c r="M433" s="107"/>
      <c r="N433" s="107"/>
      <c r="O433" s="107"/>
    </row>
    <row r="434" spans="1:15" hidden="1" x14ac:dyDescent="0.2">
      <c r="A434" s="109">
        <v>66</v>
      </c>
      <c r="B434" s="113"/>
      <c r="C434" s="114">
        <v>10933</v>
      </c>
      <c r="D434" s="153">
        <v>16284</v>
      </c>
      <c r="E434" s="153">
        <v>12602</v>
      </c>
      <c r="F434" s="153">
        <v>9424</v>
      </c>
      <c r="G434" s="153">
        <v>7448</v>
      </c>
      <c r="H434" s="153">
        <v>6051</v>
      </c>
      <c r="J434" s="107"/>
      <c r="K434" s="107"/>
      <c r="L434" s="107"/>
      <c r="M434" s="107"/>
      <c r="N434" s="107"/>
      <c r="O434" s="107"/>
    </row>
    <row r="435" spans="1:15" hidden="1" x14ac:dyDescent="0.2">
      <c r="A435" s="109">
        <v>67</v>
      </c>
      <c r="B435" s="113"/>
      <c r="C435" s="114">
        <v>12149</v>
      </c>
      <c r="D435" s="153">
        <v>18099</v>
      </c>
      <c r="E435" s="153">
        <v>14009</v>
      </c>
      <c r="F435" s="153">
        <v>10474</v>
      </c>
      <c r="G435" s="153">
        <v>8283</v>
      </c>
      <c r="H435" s="153">
        <v>6725</v>
      </c>
      <c r="J435" s="107"/>
      <c r="K435" s="107"/>
      <c r="L435" s="107"/>
      <c r="M435" s="107"/>
      <c r="N435" s="107"/>
      <c r="O435" s="107"/>
    </row>
    <row r="436" spans="1:15" hidden="1" x14ac:dyDescent="0.2">
      <c r="A436" s="109">
        <v>68</v>
      </c>
      <c r="B436" s="113"/>
      <c r="C436" s="114">
        <v>13367</v>
      </c>
      <c r="D436" s="153">
        <v>19911</v>
      </c>
      <c r="E436" s="153">
        <v>15411</v>
      </c>
      <c r="F436" s="153">
        <v>11526</v>
      </c>
      <c r="G436" s="153">
        <v>9115</v>
      </c>
      <c r="H436" s="153">
        <v>7400</v>
      </c>
      <c r="J436" s="107"/>
      <c r="K436" s="107"/>
      <c r="L436" s="107"/>
      <c r="M436" s="107"/>
      <c r="N436" s="107"/>
      <c r="O436" s="107"/>
    </row>
    <row r="437" spans="1:15" hidden="1" x14ac:dyDescent="0.2">
      <c r="A437" s="109">
        <v>69</v>
      </c>
      <c r="B437" s="113"/>
      <c r="C437" s="114">
        <v>13974</v>
      </c>
      <c r="D437" s="153">
        <v>20818</v>
      </c>
      <c r="E437" s="153">
        <v>16114</v>
      </c>
      <c r="F437" s="153">
        <v>12048</v>
      </c>
      <c r="G437" s="153">
        <v>9529</v>
      </c>
      <c r="H437" s="153">
        <v>7741</v>
      </c>
      <c r="J437" s="107"/>
      <c r="K437" s="107"/>
      <c r="L437" s="107"/>
      <c r="M437" s="107"/>
      <c r="N437" s="107"/>
      <c r="O437" s="107"/>
    </row>
    <row r="438" spans="1:15" hidden="1" x14ac:dyDescent="0.2">
      <c r="A438" s="109">
        <v>70</v>
      </c>
      <c r="B438" s="113"/>
      <c r="C438" s="114">
        <v>14272</v>
      </c>
      <c r="D438" s="153">
        <v>21084</v>
      </c>
      <c r="E438" s="153">
        <v>16371</v>
      </c>
      <c r="F438" s="153">
        <v>12234</v>
      </c>
      <c r="G438" s="153">
        <v>9708</v>
      </c>
      <c r="H438" s="153">
        <v>7843</v>
      </c>
      <c r="J438" s="107"/>
      <c r="K438" s="107"/>
      <c r="L438" s="107"/>
      <c r="M438" s="107"/>
      <c r="N438" s="107"/>
      <c r="O438" s="107"/>
    </row>
    <row r="439" spans="1:15" hidden="1" x14ac:dyDescent="0.2">
      <c r="A439" s="109">
        <v>71</v>
      </c>
      <c r="B439" s="113"/>
      <c r="C439" s="114">
        <v>16060</v>
      </c>
      <c r="D439" s="153">
        <v>23726</v>
      </c>
      <c r="E439" s="153">
        <v>18422</v>
      </c>
      <c r="F439" s="153">
        <v>13767</v>
      </c>
      <c r="G439" s="153">
        <v>10928</v>
      </c>
      <c r="H439" s="153">
        <v>8825</v>
      </c>
      <c r="J439" s="107"/>
      <c r="K439" s="107"/>
      <c r="L439" s="107"/>
      <c r="M439" s="107"/>
      <c r="N439" s="107"/>
      <c r="O439" s="107"/>
    </row>
    <row r="440" spans="1:15" hidden="1" x14ac:dyDescent="0.2">
      <c r="A440" s="109">
        <v>72</v>
      </c>
      <c r="B440" s="113"/>
      <c r="C440" s="114">
        <v>17843</v>
      </c>
      <c r="D440" s="153">
        <v>26369</v>
      </c>
      <c r="E440" s="153">
        <v>20478</v>
      </c>
      <c r="F440" s="153">
        <v>15303</v>
      </c>
      <c r="G440" s="153">
        <v>12144</v>
      </c>
      <c r="H440" s="153">
        <v>9810</v>
      </c>
      <c r="J440" s="107"/>
      <c r="K440" s="107"/>
      <c r="L440" s="107"/>
      <c r="M440" s="107"/>
      <c r="N440" s="107"/>
      <c r="O440" s="107"/>
    </row>
    <row r="441" spans="1:15" hidden="1" x14ac:dyDescent="0.2">
      <c r="A441" s="109">
        <v>73</v>
      </c>
      <c r="B441" s="113"/>
      <c r="C441" s="114">
        <v>19631</v>
      </c>
      <c r="D441" s="153">
        <v>29008</v>
      </c>
      <c r="E441" s="153">
        <v>22530</v>
      </c>
      <c r="F441" s="153">
        <v>16836</v>
      </c>
      <c r="G441" s="153">
        <v>13363</v>
      </c>
      <c r="H441" s="153">
        <v>10795</v>
      </c>
      <c r="J441" s="107"/>
      <c r="K441" s="107"/>
      <c r="L441" s="107"/>
      <c r="M441" s="107"/>
      <c r="N441" s="107"/>
      <c r="O441" s="107"/>
    </row>
    <row r="442" spans="1:15" hidden="1" x14ac:dyDescent="0.2">
      <c r="A442" s="109">
        <v>74</v>
      </c>
      <c r="B442" s="113"/>
      <c r="C442" s="114">
        <v>21416</v>
      </c>
      <c r="D442" s="153">
        <v>31650</v>
      </c>
      <c r="E442" s="153">
        <v>24579</v>
      </c>
      <c r="F442" s="153">
        <v>18368</v>
      </c>
      <c r="G442" s="153">
        <v>14581</v>
      </c>
      <c r="H442" s="153">
        <v>11779</v>
      </c>
      <c r="J442" s="107"/>
      <c r="K442" s="107"/>
      <c r="L442" s="107"/>
      <c r="M442" s="107"/>
      <c r="N442" s="107"/>
      <c r="O442" s="107"/>
    </row>
    <row r="443" spans="1:15" hidden="1" x14ac:dyDescent="0.2">
      <c r="A443" s="109">
        <v>75</v>
      </c>
      <c r="B443" s="113" t="s">
        <v>12</v>
      </c>
      <c r="C443" s="114">
        <v>23387</v>
      </c>
      <c r="D443" s="153">
        <v>34622</v>
      </c>
      <c r="E443" s="153">
        <v>27408</v>
      </c>
      <c r="F443" s="153">
        <v>21070</v>
      </c>
      <c r="G443" s="153">
        <v>15964</v>
      </c>
      <c r="H443" s="153">
        <v>13516</v>
      </c>
      <c r="J443" s="107"/>
      <c r="K443" s="107"/>
      <c r="L443" s="107"/>
      <c r="M443" s="107"/>
      <c r="N443" s="107"/>
      <c r="O443" s="107"/>
    </row>
    <row r="444" spans="1:15" hidden="1" x14ac:dyDescent="0.2">
      <c r="A444" s="109">
        <v>1</v>
      </c>
      <c r="B444" s="113" t="s">
        <v>13</v>
      </c>
      <c r="C444" s="114">
        <v>960</v>
      </c>
      <c r="D444" s="153">
        <v>1572</v>
      </c>
      <c r="E444" s="153">
        <v>1121</v>
      </c>
      <c r="F444" s="153">
        <v>886</v>
      </c>
      <c r="G444" s="153">
        <v>784</v>
      </c>
      <c r="H444" s="153">
        <v>569</v>
      </c>
      <c r="J444" s="107"/>
      <c r="K444" s="107"/>
      <c r="L444" s="107"/>
      <c r="M444" s="107"/>
      <c r="N444" s="107"/>
      <c r="O444" s="107"/>
    </row>
    <row r="445" spans="1:15" hidden="1" x14ac:dyDescent="0.2">
      <c r="A445" s="109">
        <v>2</v>
      </c>
      <c r="B445" s="113" t="s">
        <v>1</v>
      </c>
      <c r="C445" s="114">
        <v>1478</v>
      </c>
      <c r="D445" s="153">
        <v>2567</v>
      </c>
      <c r="E445" s="153">
        <v>1768</v>
      </c>
      <c r="F445" s="153">
        <v>1402</v>
      </c>
      <c r="G445" s="153">
        <v>1246</v>
      </c>
      <c r="H445" s="153">
        <v>837</v>
      </c>
      <c r="J445" s="107"/>
      <c r="K445" s="107"/>
      <c r="L445" s="107"/>
      <c r="M445" s="107"/>
      <c r="N445" s="107"/>
      <c r="O445" s="107"/>
    </row>
    <row r="446" spans="1:15" hidden="1" x14ac:dyDescent="0.2">
      <c r="A446" s="109">
        <v>3</v>
      </c>
      <c r="B446" s="113" t="s">
        <v>14</v>
      </c>
      <c r="C446" s="114">
        <v>2155</v>
      </c>
      <c r="D446" s="153">
        <v>3757</v>
      </c>
      <c r="E446" s="153">
        <v>2580</v>
      </c>
      <c r="F446" s="153">
        <v>2048</v>
      </c>
      <c r="G446" s="153">
        <v>1803</v>
      </c>
      <c r="H446" s="153">
        <v>1269</v>
      </c>
      <c r="J446" s="107"/>
      <c r="K446" s="107"/>
      <c r="L446" s="107"/>
      <c r="M446" s="107"/>
      <c r="N446" s="107"/>
      <c r="O446" s="107"/>
    </row>
    <row r="447" spans="1:15" hidden="1" x14ac:dyDescent="0.2">
      <c r="A447" s="109">
        <v>1</v>
      </c>
      <c r="B447" s="113" t="s">
        <v>3</v>
      </c>
      <c r="C447" s="114">
        <v>225</v>
      </c>
      <c r="D447" s="114">
        <v>225</v>
      </c>
      <c r="E447" s="114">
        <v>225</v>
      </c>
      <c r="F447" s="114">
        <v>225</v>
      </c>
      <c r="G447" s="114">
        <v>225</v>
      </c>
      <c r="H447" s="115">
        <v>225</v>
      </c>
      <c r="J447" s="107"/>
      <c r="K447" s="107"/>
      <c r="L447" s="107"/>
      <c r="M447" s="107"/>
      <c r="N447" s="107"/>
      <c r="O447" s="107"/>
    </row>
    <row r="448" spans="1:15" hidden="1" x14ac:dyDescent="0.2">
      <c r="A448" s="109">
        <v>1</v>
      </c>
      <c r="B448" s="113" t="s">
        <v>2</v>
      </c>
      <c r="C448" s="114">
        <v>250</v>
      </c>
      <c r="D448" s="114">
        <v>300</v>
      </c>
      <c r="E448" s="114">
        <v>300</v>
      </c>
      <c r="F448" s="114">
        <v>300</v>
      </c>
      <c r="G448" s="114">
        <v>300</v>
      </c>
      <c r="H448" s="115">
        <v>300</v>
      </c>
      <c r="J448" s="107"/>
      <c r="K448" s="107"/>
      <c r="L448" s="107"/>
      <c r="M448" s="107"/>
      <c r="N448" s="107"/>
      <c r="O448" s="107"/>
    </row>
    <row r="449" spans="1:8" hidden="1" x14ac:dyDescent="0.2">
      <c r="A449" s="109"/>
      <c r="B449" s="116"/>
      <c r="C449" s="117"/>
      <c r="D449" s="117"/>
      <c r="E449" s="117"/>
      <c r="F449" s="117"/>
      <c r="G449" s="117"/>
      <c r="H449" s="118"/>
    </row>
    <row r="450" spans="1:8" ht="18" hidden="1" x14ac:dyDescent="0.25">
      <c r="A450" s="330" t="s">
        <v>35</v>
      </c>
      <c r="B450" s="331"/>
      <c r="C450" s="331"/>
      <c r="D450" s="331"/>
      <c r="E450" s="331"/>
      <c r="F450" s="331"/>
      <c r="G450" s="331"/>
      <c r="H450" s="332"/>
    </row>
    <row r="451" spans="1:8" hidden="1" x14ac:dyDescent="0.2">
      <c r="A451" s="333" t="s">
        <v>0</v>
      </c>
      <c r="B451" s="334"/>
      <c r="C451" s="334"/>
      <c r="D451" s="334"/>
      <c r="E451" s="334"/>
      <c r="F451" s="334"/>
      <c r="G451" s="334"/>
      <c r="H451" s="108"/>
    </row>
    <row r="452" spans="1:8" hidden="1" x14ac:dyDescent="0.2">
      <c r="A452" s="109" t="s">
        <v>4</v>
      </c>
      <c r="B452" s="110" t="s">
        <v>4</v>
      </c>
      <c r="C452" s="152" t="s">
        <v>63</v>
      </c>
      <c r="D452" s="152" t="s">
        <v>64</v>
      </c>
      <c r="E452" s="152" t="s">
        <v>65</v>
      </c>
      <c r="F452" s="152" t="s">
        <v>66</v>
      </c>
      <c r="G452" s="152" t="s">
        <v>67</v>
      </c>
      <c r="H452" s="108" t="s">
        <v>68</v>
      </c>
    </row>
    <row r="453" spans="1:8" hidden="1" x14ac:dyDescent="0.2">
      <c r="A453" s="109">
        <v>18</v>
      </c>
      <c r="B453" s="113" t="s">
        <v>152</v>
      </c>
      <c r="C453" s="114">
        <f t="shared" ref="C453:H462" si="51">+C420*$L$2</f>
        <v>1231.19</v>
      </c>
      <c r="D453" s="114">
        <f t="shared" si="51"/>
        <v>1870.3700000000001</v>
      </c>
      <c r="E453" s="114">
        <f t="shared" si="51"/>
        <v>1406.0900000000001</v>
      </c>
      <c r="F453" s="114">
        <f t="shared" si="51"/>
        <v>1075.3700000000001</v>
      </c>
      <c r="G453" s="114">
        <f t="shared" si="51"/>
        <v>824.15000000000009</v>
      </c>
      <c r="H453" s="115">
        <f t="shared" si="51"/>
        <v>652.43000000000006</v>
      </c>
    </row>
    <row r="454" spans="1:8" hidden="1" x14ac:dyDescent="0.2">
      <c r="A454" s="109">
        <v>25</v>
      </c>
      <c r="B454" s="113" t="s">
        <v>5</v>
      </c>
      <c r="C454" s="114">
        <f t="shared" si="51"/>
        <v>1375.3500000000001</v>
      </c>
      <c r="D454" s="114">
        <f t="shared" si="51"/>
        <v>2083.4300000000003</v>
      </c>
      <c r="E454" s="114">
        <f t="shared" si="51"/>
        <v>1568.8000000000002</v>
      </c>
      <c r="F454" s="114">
        <f t="shared" si="51"/>
        <v>1195.68</v>
      </c>
      <c r="G454" s="114">
        <f t="shared" si="51"/>
        <v>920.08</v>
      </c>
      <c r="H454" s="115">
        <f t="shared" si="51"/>
        <v>722.39</v>
      </c>
    </row>
    <row r="455" spans="1:8" hidden="1" x14ac:dyDescent="0.2">
      <c r="A455" s="109">
        <v>30</v>
      </c>
      <c r="B455" s="113" t="s">
        <v>6</v>
      </c>
      <c r="C455" s="114">
        <f t="shared" si="51"/>
        <v>1608.5500000000002</v>
      </c>
      <c r="D455" s="114">
        <f t="shared" si="51"/>
        <v>2411.5</v>
      </c>
      <c r="E455" s="114">
        <f t="shared" si="51"/>
        <v>1844.4</v>
      </c>
      <c r="F455" s="114">
        <f t="shared" si="51"/>
        <v>1425.7</v>
      </c>
      <c r="G455" s="114">
        <f t="shared" si="51"/>
        <v>1091.27</v>
      </c>
      <c r="H455" s="115">
        <f t="shared" si="51"/>
        <v>841.11</v>
      </c>
    </row>
    <row r="456" spans="1:8" hidden="1" x14ac:dyDescent="0.2">
      <c r="A456" s="109">
        <v>35</v>
      </c>
      <c r="B456" s="113" t="s">
        <v>7</v>
      </c>
      <c r="C456" s="114">
        <f t="shared" si="51"/>
        <v>1815.25</v>
      </c>
      <c r="D456" s="114">
        <f t="shared" si="51"/>
        <v>2673.85</v>
      </c>
      <c r="E456" s="114">
        <f t="shared" si="51"/>
        <v>2054.2800000000002</v>
      </c>
      <c r="F456" s="114">
        <f t="shared" si="51"/>
        <v>1586.2900000000002</v>
      </c>
      <c r="G456" s="114">
        <f t="shared" si="51"/>
        <v>1244.44</v>
      </c>
      <c r="H456" s="115">
        <f t="shared" si="51"/>
        <v>932.80000000000007</v>
      </c>
    </row>
    <row r="457" spans="1:8" hidden="1" x14ac:dyDescent="0.2">
      <c r="A457" s="109">
        <v>40</v>
      </c>
      <c r="B457" s="113" t="s">
        <v>8</v>
      </c>
      <c r="C457" s="114">
        <f t="shared" si="51"/>
        <v>2055.34</v>
      </c>
      <c r="D457" s="114">
        <f t="shared" si="51"/>
        <v>3017.82</v>
      </c>
      <c r="E457" s="114">
        <f t="shared" si="51"/>
        <v>2329.35</v>
      </c>
      <c r="F457" s="114">
        <f t="shared" si="51"/>
        <v>1799.88</v>
      </c>
      <c r="G457" s="114">
        <f t="shared" si="51"/>
        <v>1391.25</v>
      </c>
      <c r="H457" s="115">
        <f t="shared" si="51"/>
        <v>1055.76</v>
      </c>
    </row>
    <row r="458" spans="1:8" hidden="1" x14ac:dyDescent="0.2">
      <c r="A458" s="109">
        <v>45</v>
      </c>
      <c r="B458" s="113" t="s">
        <v>9</v>
      </c>
      <c r="C458" s="114">
        <f t="shared" si="51"/>
        <v>2375.9900000000002</v>
      </c>
      <c r="D458" s="114">
        <f t="shared" si="51"/>
        <v>3507.01</v>
      </c>
      <c r="E458" s="114">
        <f t="shared" si="51"/>
        <v>2683.3900000000003</v>
      </c>
      <c r="F458" s="114">
        <f t="shared" si="51"/>
        <v>2028.3100000000002</v>
      </c>
      <c r="G458" s="114">
        <f t="shared" si="51"/>
        <v>1583.64</v>
      </c>
      <c r="H458" s="115">
        <f t="shared" si="51"/>
        <v>1228.01</v>
      </c>
    </row>
    <row r="459" spans="1:8" hidden="1" x14ac:dyDescent="0.2">
      <c r="A459" s="109">
        <v>50</v>
      </c>
      <c r="B459" s="113" t="s">
        <v>10</v>
      </c>
      <c r="C459" s="114">
        <f t="shared" si="51"/>
        <v>2689.2200000000003</v>
      </c>
      <c r="D459" s="114">
        <f t="shared" si="51"/>
        <v>3843.5600000000004</v>
      </c>
      <c r="E459" s="114">
        <f t="shared" si="51"/>
        <v>3016.76</v>
      </c>
      <c r="F459" s="114">
        <f t="shared" si="51"/>
        <v>2365.3900000000003</v>
      </c>
      <c r="G459" s="114">
        <f t="shared" si="51"/>
        <v>1777.6200000000001</v>
      </c>
      <c r="H459" s="115">
        <f t="shared" si="51"/>
        <v>1348.8500000000001</v>
      </c>
    </row>
    <row r="460" spans="1:8" hidden="1" x14ac:dyDescent="0.2">
      <c r="A460" s="109">
        <v>55</v>
      </c>
      <c r="B460" s="113" t="s">
        <v>11</v>
      </c>
      <c r="C460" s="114">
        <f t="shared" si="51"/>
        <v>3116.4</v>
      </c>
      <c r="D460" s="114">
        <f t="shared" si="51"/>
        <v>4541.5700000000006</v>
      </c>
      <c r="E460" s="114">
        <f t="shared" si="51"/>
        <v>3483.69</v>
      </c>
      <c r="F460" s="114">
        <f t="shared" si="51"/>
        <v>2616.08</v>
      </c>
      <c r="G460" s="114">
        <f t="shared" si="51"/>
        <v>2062.23</v>
      </c>
      <c r="H460" s="115">
        <f t="shared" si="51"/>
        <v>1595.3000000000002</v>
      </c>
    </row>
    <row r="461" spans="1:8" hidden="1" x14ac:dyDescent="0.2">
      <c r="A461" s="109">
        <v>60</v>
      </c>
      <c r="B461" s="113"/>
      <c r="C461" s="114">
        <f t="shared" si="51"/>
        <v>3315.6800000000003</v>
      </c>
      <c r="D461" s="114">
        <f t="shared" si="51"/>
        <v>5018.04</v>
      </c>
      <c r="E461" s="114">
        <f t="shared" si="51"/>
        <v>3857.34</v>
      </c>
      <c r="F461" s="114">
        <f t="shared" si="51"/>
        <v>2877.3700000000003</v>
      </c>
      <c r="G461" s="114">
        <f t="shared" si="51"/>
        <v>2273.7000000000003</v>
      </c>
      <c r="H461" s="115">
        <f t="shared" si="51"/>
        <v>1766.49</v>
      </c>
    </row>
    <row r="462" spans="1:8" hidden="1" x14ac:dyDescent="0.2">
      <c r="A462" s="109">
        <v>61</v>
      </c>
      <c r="B462" s="113"/>
      <c r="C462" s="114">
        <f t="shared" si="51"/>
        <v>3732.26</v>
      </c>
      <c r="D462" s="114">
        <f t="shared" si="51"/>
        <v>5648.7400000000007</v>
      </c>
      <c r="E462" s="114">
        <f t="shared" si="51"/>
        <v>4339.6400000000003</v>
      </c>
      <c r="F462" s="114">
        <f t="shared" si="51"/>
        <v>3239.8900000000003</v>
      </c>
      <c r="G462" s="114">
        <f t="shared" si="51"/>
        <v>2560.96</v>
      </c>
      <c r="H462" s="115">
        <f t="shared" si="51"/>
        <v>1990.68</v>
      </c>
    </row>
    <row r="463" spans="1:8" hidden="1" x14ac:dyDescent="0.2">
      <c r="A463" s="109">
        <v>62</v>
      </c>
      <c r="B463" s="113"/>
      <c r="C463" s="114">
        <f t="shared" ref="C463:H472" si="52">+C430*$L$2</f>
        <v>4148.3100000000004</v>
      </c>
      <c r="D463" s="114">
        <f t="shared" si="52"/>
        <v>6277.85</v>
      </c>
      <c r="E463" s="114">
        <f t="shared" si="52"/>
        <v>4827.7700000000004</v>
      </c>
      <c r="F463" s="114">
        <f t="shared" si="52"/>
        <v>3601.88</v>
      </c>
      <c r="G463" s="114">
        <f t="shared" si="52"/>
        <v>2847.69</v>
      </c>
      <c r="H463" s="115">
        <f t="shared" si="52"/>
        <v>2212.75</v>
      </c>
    </row>
    <row r="464" spans="1:8" hidden="1" x14ac:dyDescent="0.2">
      <c r="A464" s="109">
        <v>63</v>
      </c>
      <c r="B464" s="113"/>
      <c r="C464" s="114">
        <f t="shared" si="52"/>
        <v>4564.8900000000003</v>
      </c>
      <c r="D464" s="114">
        <f t="shared" si="52"/>
        <v>6907.4900000000007</v>
      </c>
      <c r="E464" s="114">
        <f t="shared" si="52"/>
        <v>5311.13</v>
      </c>
      <c r="F464" s="114">
        <f t="shared" si="52"/>
        <v>3964.4</v>
      </c>
      <c r="G464" s="114">
        <f t="shared" si="52"/>
        <v>3134.42</v>
      </c>
      <c r="H464" s="115">
        <f t="shared" si="52"/>
        <v>2436.94</v>
      </c>
    </row>
    <row r="465" spans="1:8" hidden="1" x14ac:dyDescent="0.2">
      <c r="A465" s="109">
        <v>64</v>
      </c>
      <c r="B465" s="113"/>
      <c r="C465" s="114">
        <f t="shared" si="52"/>
        <v>4980.41</v>
      </c>
      <c r="D465" s="114">
        <f t="shared" si="52"/>
        <v>7538.1900000000005</v>
      </c>
      <c r="E465" s="114">
        <f t="shared" si="52"/>
        <v>5796.6100000000006</v>
      </c>
      <c r="F465" s="114">
        <f t="shared" si="52"/>
        <v>4327.45</v>
      </c>
      <c r="G465" s="114">
        <f t="shared" si="52"/>
        <v>3422.21</v>
      </c>
      <c r="H465" s="115">
        <f t="shared" si="52"/>
        <v>2657.42</v>
      </c>
    </row>
    <row r="466" spans="1:8" hidden="1" x14ac:dyDescent="0.2">
      <c r="A466" s="109">
        <v>65</v>
      </c>
      <c r="B466" s="113"/>
      <c r="C466" s="114">
        <f t="shared" si="52"/>
        <v>5471.1900000000005</v>
      </c>
      <c r="D466" s="114">
        <f t="shared" si="52"/>
        <v>8150.34</v>
      </c>
      <c r="E466" s="114">
        <f t="shared" si="52"/>
        <v>6308.06</v>
      </c>
      <c r="F466" s="114">
        <f t="shared" si="52"/>
        <v>4715.41</v>
      </c>
      <c r="G466" s="114">
        <f t="shared" si="52"/>
        <v>3726.96</v>
      </c>
      <c r="H466" s="115">
        <f t="shared" si="52"/>
        <v>3025.2400000000002</v>
      </c>
    </row>
    <row r="467" spans="1:8" hidden="1" x14ac:dyDescent="0.2">
      <c r="A467" s="109">
        <v>66</v>
      </c>
      <c r="B467" s="113"/>
      <c r="C467" s="114">
        <f t="shared" si="52"/>
        <v>5794.4900000000007</v>
      </c>
      <c r="D467" s="114">
        <f t="shared" si="52"/>
        <v>8630.52</v>
      </c>
      <c r="E467" s="114">
        <f t="shared" si="52"/>
        <v>6679.06</v>
      </c>
      <c r="F467" s="114">
        <f t="shared" si="52"/>
        <v>4994.72</v>
      </c>
      <c r="G467" s="114">
        <f t="shared" si="52"/>
        <v>3947.44</v>
      </c>
      <c r="H467" s="115">
        <f t="shared" si="52"/>
        <v>3207.03</v>
      </c>
    </row>
    <row r="468" spans="1:8" hidden="1" x14ac:dyDescent="0.2">
      <c r="A468" s="109">
        <v>67</v>
      </c>
      <c r="B468" s="113"/>
      <c r="C468" s="114">
        <f t="shared" si="52"/>
        <v>6438.97</v>
      </c>
      <c r="D468" s="114">
        <f t="shared" si="52"/>
        <v>9592.4700000000012</v>
      </c>
      <c r="E468" s="114">
        <f t="shared" si="52"/>
        <v>7424.77</v>
      </c>
      <c r="F468" s="114">
        <f t="shared" si="52"/>
        <v>5551.22</v>
      </c>
      <c r="G468" s="114">
        <f t="shared" si="52"/>
        <v>4389.99</v>
      </c>
      <c r="H468" s="115">
        <f t="shared" si="52"/>
        <v>3564.25</v>
      </c>
    </row>
    <row r="469" spans="1:8" hidden="1" x14ac:dyDescent="0.2">
      <c r="A469" s="109">
        <v>68</v>
      </c>
      <c r="B469" s="113"/>
      <c r="C469" s="114">
        <f t="shared" si="52"/>
        <v>7084.51</v>
      </c>
      <c r="D469" s="114">
        <f t="shared" si="52"/>
        <v>10552.83</v>
      </c>
      <c r="E469" s="114">
        <f t="shared" si="52"/>
        <v>8167.8300000000008</v>
      </c>
      <c r="F469" s="114">
        <f t="shared" si="52"/>
        <v>6108.7800000000007</v>
      </c>
      <c r="G469" s="114">
        <f t="shared" si="52"/>
        <v>4830.95</v>
      </c>
      <c r="H469" s="115">
        <f t="shared" si="52"/>
        <v>3922</v>
      </c>
    </row>
    <row r="470" spans="1:8" hidden="1" x14ac:dyDescent="0.2">
      <c r="A470" s="109">
        <v>69</v>
      </c>
      <c r="B470" s="113"/>
      <c r="C470" s="114">
        <f t="shared" si="52"/>
        <v>7406.22</v>
      </c>
      <c r="D470" s="114">
        <f t="shared" si="52"/>
        <v>11033.54</v>
      </c>
      <c r="E470" s="114">
        <f t="shared" si="52"/>
        <v>8540.42</v>
      </c>
      <c r="F470" s="114">
        <f t="shared" si="52"/>
        <v>6385.4400000000005</v>
      </c>
      <c r="G470" s="114">
        <f t="shared" si="52"/>
        <v>5050.37</v>
      </c>
      <c r="H470" s="115">
        <f t="shared" si="52"/>
        <v>4102.7300000000005</v>
      </c>
    </row>
    <row r="471" spans="1:8" hidden="1" x14ac:dyDescent="0.2">
      <c r="A471" s="109">
        <v>70</v>
      </c>
      <c r="B471" s="113"/>
      <c r="C471" s="114">
        <f t="shared" si="52"/>
        <v>7564.1600000000008</v>
      </c>
      <c r="D471" s="114">
        <f t="shared" si="52"/>
        <v>11174.52</v>
      </c>
      <c r="E471" s="114">
        <f t="shared" si="52"/>
        <v>8676.630000000001</v>
      </c>
      <c r="F471" s="114">
        <f t="shared" si="52"/>
        <v>6484.02</v>
      </c>
      <c r="G471" s="114">
        <f t="shared" si="52"/>
        <v>5145.2400000000007</v>
      </c>
      <c r="H471" s="115">
        <f t="shared" si="52"/>
        <v>4156.79</v>
      </c>
    </row>
    <row r="472" spans="1:8" hidden="1" x14ac:dyDescent="0.2">
      <c r="A472" s="109">
        <v>71</v>
      </c>
      <c r="B472" s="113"/>
      <c r="C472" s="114">
        <f t="shared" si="52"/>
        <v>8511.8000000000011</v>
      </c>
      <c r="D472" s="114">
        <f t="shared" si="52"/>
        <v>12574.78</v>
      </c>
      <c r="E472" s="114">
        <f t="shared" si="52"/>
        <v>9763.66</v>
      </c>
      <c r="F472" s="114">
        <f t="shared" si="52"/>
        <v>7296.51</v>
      </c>
      <c r="G472" s="114">
        <f t="shared" si="52"/>
        <v>5791.84</v>
      </c>
      <c r="H472" s="115">
        <f t="shared" si="52"/>
        <v>4677.25</v>
      </c>
    </row>
    <row r="473" spans="1:8" hidden="1" x14ac:dyDescent="0.2">
      <c r="A473" s="109">
        <v>72</v>
      </c>
      <c r="B473" s="113"/>
      <c r="C473" s="114">
        <f t="shared" ref="C473:H481" si="53">+C440*$L$2</f>
        <v>9456.7900000000009</v>
      </c>
      <c r="D473" s="114">
        <f t="shared" si="53"/>
        <v>13975.570000000002</v>
      </c>
      <c r="E473" s="114">
        <f t="shared" si="53"/>
        <v>10853.34</v>
      </c>
      <c r="F473" s="114">
        <f t="shared" si="53"/>
        <v>8110.59</v>
      </c>
      <c r="G473" s="114">
        <f t="shared" si="53"/>
        <v>6436.3200000000006</v>
      </c>
      <c r="H473" s="115">
        <f t="shared" si="53"/>
        <v>5199.3</v>
      </c>
    </row>
    <row r="474" spans="1:8" hidden="1" x14ac:dyDescent="0.2">
      <c r="A474" s="109">
        <v>73</v>
      </c>
      <c r="B474" s="113"/>
      <c r="C474" s="114">
        <f t="shared" si="53"/>
        <v>10404.43</v>
      </c>
      <c r="D474" s="114">
        <f t="shared" si="53"/>
        <v>15374.240000000002</v>
      </c>
      <c r="E474" s="114">
        <f t="shared" si="53"/>
        <v>11940.900000000001</v>
      </c>
      <c r="F474" s="114">
        <f t="shared" si="53"/>
        <v>8923.08</v>
      </c>
      <c r="G474" s="114">
        <f t="shared" si="53"/>
        <v>7082.39</v>
      </c>
      <c r="H474" s="115">
        <f t="shared" si="53"/>
        <v>5721.35</v>
      </c>
    </row>
    <row r="475" spans="1:8" hidden="1" x14ac:dyDescent="0.2">
      <c r="A475" s="109">
        <v>74</v>
      </c>
      <c r="B475" s="113"/>
      <c r="C475" s="114">
        <f t="shared" si="53"/>
        <v>11350.480000000001</v>
      </c>
      <c r="D475" s="114">
        <f t="shared" si="53"/>
        <v>16774.5</v>
      </c>
      <c r="E475" s="114">
        <f t="shared" si="53"/>
        <v>13026.87</v>
      </c>
      <c r="F475" s="114">
        <f t="shared" si="53"/>
        <v>9735.0400000000009</v>
      </c>
      <c r="G475" s="114">
        <f t="shared" si="53"/>
        <v>7727.93</v>
      </c>
      <c r="H475" s="115">
        <f t="shared" si="53"/>
        <v>6242.87</v>
      </c>
    </row>
    <row r="476" spans="1:8" hidden="1" x14ac:dyDescent="0.2">
      <c r="A476" s="109">
        <v>75</v>
      </c>
      <c r="B476" s="113" t="s">
        <v>12</v>
      </c>
      <c r="C476" s="114">
        <f t="shared" si="53"/>
        <v>12395.11</v>
      </c>
      <c r="D476" s="114">
        <f t="shared" si="53"/>
        <v>18349.66</v>
      </c>
      <c r="E476" s="114">
        <f t="shared" si="53"/>
        <v>14526.240000000002</v>
      </c>
      <c r="F476" s="114">
        <f t="shared" si="53"/>
        <v>11167.1</v>
      </c>
      <c r="G476" s="114">
        <f t="shared" si="53"/>
        <v>8460.92</v>
      </c>
      <c r="H476" s="115">
        <f t="shared" si="53"/>
        <v>7163.4800000000005</v>
      </c>
    </row>
    <row r="477" spans="1:8" hidden="1" x14ac:dyDescent="0.2">
      <c r="A477" s="109">
        <v>1</v>
      </c>
      <c r="B477" s="113" t="s">
        <v>13</v>
      </c>
      <c r="C477" s="114">
        <f t="shared" si="53"/>
        <v>508.8</v>
      </c>
      <c r="D477" s="114">
        <f t="shared" si="53"/>
        <v>833.16000000000008</v>
      </c>
      <c r="E477" s="114">
        <f t="shared" si="53"/>
        <v>594.13</v>
      </c>
      <c r="F477" s="114">
        <f t="shared" si="53"/>
        <v>469.58000000000004</v>
      </c>
      <c r="G477" s="114">
        <f t="shared" si="53"/>
        <v>415.52000000000004</v>
      </c>
      <c r="H477" s="115">
        <f t="shared" si="53"/>
        <v>301.57</v>
      </c>
    </row>
    <row r="478" spans="1:8" hidden="1" x14ac:dyDescent="0.2">
      <c r="A478" s="109">
        <v>2</v>
      </c>
      <c r="B478" s="113" t="s">
        <v>1</v>
      </c>
      <c r="C478" s="114">
        <f t="shared" si="53"/>
        <v>783.34</v>
      </c>
      <c r="D478" s="114">
        <f t="shared" si="53"/>
        <v>1360.51</v>
      </c>
      <c r="E478" s="114">
        <f t="shared" si="53"/>
        <v>937.04000000000008</v>
      </c>
      <c r="F478" s="114">
        <f t="shared" si="53"/>
        <v>743.06000000000006</v>
      </c>
      <c r="G478" s="114">
        <f t="shared" si="53"/>
        <v>660.38</v>
      </c>
      <c r="H478" s="115">
        <f t="shared" si="53"/>
        <v>443.61</v>
      </c>
    </row>
    <row r="479" spans="1:8" hidden="1" x14ac:dyDescent="0.2">
      <c r="A479" s="109">
        <v>3</v>
      </c>
      <c r="B479" s="113" t="s">
        <v>14</v>
      </c>
      <c r="C479" s="114">
        <f t="shared" si="53"/>
        <v>1142.1500000000001</v>
      </c>
      <c r="D479" s="114">
        <f t="shared" si="53"/>
        <v>1991.21</v>
      </c>
      <c r="E479" s="114">
        <f t="shared" si="53"/>
        <v>1367.4</v>
      </c>
      <c r="F479" s="114">
        <f t="shared" si="53"/>
        <v>1085.44</v>
      </c>
      <c r="G479" s="114">
        <f t="shared" si="53"/>
        <v>955.59</v>
      </c>
      <c r="H479" s="115">
        <f t="shared" si="53"/>
        <v>672.57</v>
      </c>
    </row>
    <row r="480" spans="1:8" hidden="1" x14ac:dyDescent="0.2">
      <c r="A480" s="109">
        <v>1</v>
      </c>
      <c r="B480" s="113" t="s">
        <v>3</v>
      </c>
      <c r="C480" s="114">
        <f t="shared" si="53"/>
        <v>119.25</v>
      </c>
      <c r="D480" s="114">
        <f t="shared" si="53"/>
        <v>119.25</v>
      </c>
      <c r="E480" s="114">
        <f t="shared" si="53"/>
        <v>119.25</v>
      </c>
      <c r="F480" s="114">
        <f t="shared" si="53"/>
        <v>119.25</v>
      </c>
      <c r="G480" s="114">
        <f t="shared" si="53"/>
        <v>119.25</v>
      </c>
      <c r="H480" s="115">
        <f t="shared" si="53"/>
        <v>119.25</v>
      </c>
    </row>
    <row r="481" spans="1:15" ht="13.5" hidden="1" thickBot="1" x14ac:dyDescent="0.25">
      <c r="A481" s="119">
        <v>1</v>
      </c>
      <c r="B481" s="120" t="s">
        <v>2</v>
      </c>
      <c r="C481" s="121">
        <f t="shared" si="53"/>
        <v>132.5</v>
      </c>
      <c r="D481" s="121">
        <f t="shared" si="53"/>
        <v>159</v>
      </c>
      <c r="E481" s="121">
        <f t="shared" si="53"/>
        <v>159</v>
      </c>
      <c r="F481" s="121">
        <f t="shared" si="53"/>
        <v>159</v>
      </c>
      <c r="G481" s="121">
        <f t="shared" si="53"/>
        <v>159</v>
      </c>
      <c r="H481" s="122">
        <f t="shared" si="53"/>
        <v>159</v>
      </c>
    </row>
    <row r="482" spans="1:15" ht="13.5" hidden="1" thickBot="1" x14ac:dyDescent="0.25"/>
    <row r="483" spans="1:15" ht="18" hidden="1" x14ac:dyDescent="0.25">
      <c r="A483" s="322" t="s">
        <v>250</v>
      </c>
      <c r="B483" s="323"/>
      <c r="C483" s="323"/>
      <c r="D483" s="323"/>
      <c r="E483" s="323"/>
      <c r="F483" s="323"/>
      <c r="G483" s="323"/>
      <c r="H483" s="324"/>
    </row>
    <row r="484" spans="1:15" ht="18" hidden="1" x14ac:dyDescent="0.25">
      <c r="A484" s="325" t="s">
        <v>28</v>
      </c>
      <c r="B484" s="326"/>
      <c r="C484" s="326"/>
      <c r="D484" s="326"/>
      <c r="E484" s="326"/>
      <c r="F484" s="326"/>
      <c r="G484" s="326"/>
      <c r="H484" s="327"/>
    </row>
    <row r="485" spans="1:15" hidden="1" x14ac:dyDescent="0.2">
      <c r="A485" s="328" t="s">
        <v>0</v>
      </c>
      <c r="B485" s="329"/>
      <c r="C485" s="329"/>
      <c r="D485" s="329"/>
      <c r="E485" s="329"/>
      <c r="F485" s="329"/>
      <c r="G485" s="329"/>
      <c r="H485" s="90"/>
    </row>
    <row r="486" spans="1:15" hidden="1" x14ac:dyDescent="0.2">
      <c r="A486" s="91" t="s">
        <v>4</v>
      </c>
      <c r="B486" s="92" t="s">
        <v>4</v>
      </c>
      <c r="C486" s="155" t="s">
        <v>69</v>
      </c>
      <c r="D486" s="154" t="s">
        <v>70</v>
      </c>
      <c r="E486" s="154" t="s">
        <v>71</v>
      </c>
      <c r="F486" s="154" t="s">
        <v>72</v>
      </c>
      <c r="G486" s="154" t="s">
        <v>73</v>
      </c>
      <c r="H486" s="90" t="s">
        <v>74</v>
      </c>
    </row>
    <row r="487" spans="1:15" ht="15" hidden="1" x14ac:dyDescent="0.2">
      <c r="A487" s="91">
        <v>18</v>
      </c>
      <c r="B487" s="93"/>
      <c r="C487" s="114">
        <v>1913</v>
      </c>
      <c r="D487" s="159">
        <v>1801</v>
      </c>
      <c r="E487" s="159">
        <v>1395</v>
      </c>
      <c r="F487" s="159">
        <v>936</v>
      </c>
      <c r="G487" s="159">
        <v>706</v>
      </c>
      <c r="H487" s="161">
        <v>495</v>
      </c>
      <c r="J487" s="107"/>
      <c r="K487" s="107"/>
      <c r="L487" s="107"/>
      <c r="M487" s="107"/>
      <c r="N487" s="107"/>
      <c r="O487" s="107"/>
    </row>
    <row r="488" spans="1:15" ht="15" hidden="1" x14ac:dyDescent="0.2">
      <c r="A488" s="91">
        <v>19</v>
      </c>
      <c r="B488" s="93"/>
      <c r="C488" s="114">
        <v>2122</v>
      </c>
      <c r="D488" s="159">
        <v>1837</v>
      </c>
      <c r="E488" s="159">
        <v>1413</v>
      </c>
      <c r="F488" s="159">
        <v>954</v>
      </c>
      <c r="G488" s="159">
        <v>706</v>
      </c>
      <c r="H488" s="161">
        <v>512</v>
      </c>
      <c r="J488" s="107"/>
      <c r="K488" s="107"/>
      <c r="L488" s="107"/>
      <c r="M488" s="107"/>
      <c r="N488" s="107"/>
      <c r="O488" s="107"/>
    </row>
    <row r="489" spans="1:15" ht="15" hidden="1" x14ac:dyDescent="0.2">
      <c r="A489" s="91">
        <v>20</v>
      </c>
      <c r="B489" s="93"/>
      <c r="C489" s="114">
        <v>2449</v>
      </c>
      <c r="D489" s="159">
        <v>1854</v>
      </c>
      <c r="E489" s="159">
        <v>1448</v>
      </c>
      <c r="F489" s="159">
        <v>971</v>
      </c>
      <c r="G489" s="159">
        <v>724</v>
      </c>
      <c r="H489" s="161">
        <v>512</v>
      </c>
      <c r="J489" s="107"/>
      <c r="K489" s="107"/>
      <c r="L489" s="107"/>
      <c r="M489" s="107"/>
      <c r="N489" s="107"/>
      <c r="O489" s="107"/>
    </row>
    <row r="490" spans="1:15" ht="15" hidden="1" x14ac:dyDescent="0.2">
      <c r="A490" s="91">
        <v>21</v>
      </c>
      <c r="B490" s="93"/>
      <c r="C490" s="114">
        <v>2712</v>
      </c>
      <c r="D490" s="159">
        <v>1890</v>
      </c>
      <c r="E490" s="159">
        <v>1484</v>
      </c>
      <c r="F490" s="159">
        <v>989</v>
      </c>
      <c r="G490" s="159">
        <v>742</v>
      </c>
      <c r="H490" s="161">
        <v>530</v>
      </c>
      <c r="J490" s="107"/>
      <c r="K490" s="107"/>
      <c r="L490" s="107"/>
      <c r="M490" s="107"/>
      <c r="N490" s="107"/>
      <c r="O490" s="107"/>
    </row>
    <row r="491" spans="1:15" ht="15" hidden="1" x14ac:dyDescent="0.2">
      <c r="A491" s="91">
        <v>22</v>
      </c>
      <c r="B491" s="93"/>
      <c r="C491" s="114">
        <v>3059</v>
      </c>
      <c r="D491" s="159">
        <v>1925</v>
      </c>
      <c r="E491" s="159">
        <v>1519</v>
      </c>
      <c r="F491" s="159">
        <v>1007</v>
      </c>
      <c r="G491" s="159">
        <v>759</v>
      </c>
      <c r="H491" s="161">
        <v>530</v>
      </c>
      <c r="J491" s="107"/>
      <c r="K491" s="107"/>
      <c r="L491" s="107"/>
      <c r="M491" s="107"/>
      <c r="N491" s="107"/>
      <c r="O491" s="107"/>
    </row>
    <row r="492" spans="1:15" ht="15" hidden="1" x14ac:dyDescent="0.2">
      <c r="A492" s="91">
        <v>23</v>
      </c>
      <c r="B492" s="93"/>
      <c r="C492" s="114">
        <v>3543</v>
      </c>
      <c r="D492" s="159">
        <v>1943</v>
      </c>
      <c r="E492" s="159">
        <v>1537</v>
      </c>
      <c r="F492" s="159">
        <v>1024</v>
      </c>
      <c r="G492" s="159">
        <v>759</v>
      </c>
      <c r="H492" s="161">
        <v>548</v>
      </c>
      <c r="J492" s="107"/>
      <c r="K492" s="107"/>
      <c r="L492" s="107"/>
      <c r="M492" s="107"/>
      <c r="N492" s="107"/>
      <c r="O492" s="107"/>
    </row>
    <row r="493" spans="1:15" ht="15" hidden="1" x14ac:dyDescent="0.2">
      <c r="A493" s="91">
        <v>24</v>
      </c>
      <c r="B493" s="93"/>
      <c r="C493" s="114">
        <v>3875</v>
      </c>
      <c r="D493" s="159">
        <v>1978</v>
      </c>
      <c r="E493" s="159">
        <v>1572</v>
      </c>
      <c r="F493" s="159">
        <v>1060</v>
      </c>
      <c r="G493" s="159">
        <v>777</v>
      </c>
      <c r="H493" s="161">
        <v>565</v>
      </c>
      <c r="J493" s="107"/>
      <c r="K493" s="107"/>
      <c r="L493" s="107"/>
      <c r="M493" s="107"/>
      <c r="N493" s="107"/>
      <c r="O493" s="107"/>
    </row>
    <row r="494" spans="1:15" ht="15" hidden="1" x14ac:dyDescent="0.2">
      <c r="A494" s="91">
        <v>25</v>
      </c>
      <c r="B494" s="93"/>
      <c r="C494" s="114">
        <v>4577</v>
      </c>
      <c r="D494" s="159">
        <v>2013</v>
      </c>
      <c r="E494" s="159">
        <v>1607</v>
      </c>
      <c r="F494" s="159">
        <v>1077</v>
      </c>
      <c r="G494" s="159">
        <v>795</v>
      </c>
      <c r="H494" s="161">
        <v>565</v>
      </c>
      <c r="J494" s="107"/>
      <c r="K494" s="107"/>
      <c r="L494" s="107"/>
      <c r="M494" s="107"/>
      <c r="N494" s="107"/>
      <c r="O494" s="107"/>
    </row>
    <row r="495" spans="1:15" ht="15" hidden="1" x14ac:dyDescent="0.2">
      <c r="A495" s="91">
        <v>26</v>
      </c>
      <c r="B495" s="93"/>
      <c r="C495" s="114">
        <v>4827</v>
      </c>
      <c r="D495" s="159">
        <v>2049</v>
      </c>
      <c r="E495" s="159">
        <v>1643</v>
      </c>
      <c r="F495" s="159">
        <v>1095</v>
      </c>
      <c r="G495" s="159">
        <v>812</v>
      </c>
      <c r="H495" s="161">
        <v>583</v>
      </c>
      <c r="J495" s="107"/>
      <c r="K495" s="107"/>
      <c r="L495" s="107"/>
      <c r="M495" s="107"/>
      <c r="N495" s="107"/>
      <c r="O495" s="107"/>
    </row>
    <row r="496" spans="1:15" ht="15" hidden="1" x14ac:dyDescent="0.2">
      <c r="A496" s="91">
        <v>27</v>
      </c>
      <c r="B496" s="93"/>
      <c r="C496" s="114">
        <v>5433</v>
      </c>
      <c r="D496" s="159">
        <v>2066</v>
      </c>
      <c r="E496" s="159">
        <v>1678</v>
      </c>
      <c r="F496" s="159">
        <v>1113</v>
      </c>
      <c r="G496" s="159">
        <v>830</v>
      </c>
      <c r="H496" s="161">
        <v>583</v>
      </c>
      <c r="J496" s="107"/>
      <c r="K496" s="107"/>
      <c r="L496" s="107"/>
      <c r="M496" s="107"/>
      <c r="N496" s="107"/>
      <c r="O496" s="107"/>
    </row>
    <row r="497" spans="1:15" ht="15" hidden="1" x14ac:dyDescent="0.2">
      <c r="A497" s="91">
        <v>28</v>
      </c>
      <c r="B497" s="93"/>
      <c r="C497" s="114">
        <v>6039</v>
      </c>
      <c r="D497" s="159">
        <v>2119</v>
      </c>
      <c r="E497" s="159">
        <v>1713</v>
      </c>
      <c r="F497" s="159">
        <v>1130</v>
      </c>
      <c r="G497" s="159">
        <v>848</v>
      </c>
      <c r="H497" s="161">
        <v>600</v>
      </c>
      <c r="J497" s="107"/>
      <c r="K497" s="107"/>
      <c r="L497" s="107"/>
      <c r="M497" s="107"/>
      <c r="N497" s="107"/>
      <c r="O497" s="107"/>
    </row>
    <row r="498" spans="1:15" ht="15" hidden="1" x14ac:dyDescent="0.2">
      <c r="A498" s="91">
        <v>29</v>
      </c>
      <c r="B498" s="93"/>
      <c r="C498" s="114">
        <v>6645</v>
      </c>
      <c r="D498" s="159">
        <v>2155</v>
      </c>
      <c r="E498" s="159">
        <v>1749</v>
      </c>
      <c r="F498" s="159">
        <v>1166</v>
      </c>
      <c r="G498" s="159">
        <v>865</v>
      </c>
      <c r="H498" s="161">
        <v>618</v>
      </c>
      <c r="J498" s="107"/>
      <c r="K498" s="107"/>
      <c r="L498" s="107"/>
      <c r="M498" s="107"/>
      <c r="N498" s="107"/>
      <c r="O498" s="107"/>
    </row>
    <row r="499" spans="1:15" ht="15" hidden="1" x14ac:dyDescent="0.2">
      <c r="A499" s="91">
        <v>30</v>
      </c>
      <c r="B499" s="93"/>
      <c r="C499" s="114">
        <v>7250</v>
      </c>
      <c r="D499" s="159">
        <v>2208</v>
      </c>
      <c r="E499" s="159">
        <v>1801</v>
      </c>
      <c r="F499" s="159">
        <v>1201</v>
      </c>
      <c r="G499" s="159">
        <v>883</v>
      </c>
      <c r="H499" s="161">
        <v>636</v>
      </c>
      <c r="J499" s="107"/>
      <c r="K499" s="107"/>
      <c r="L499" s="107"/>
      <c r="M499" s="107"/>
      <c r="N499" s="107"/>
      <c r="O499" s="107"/>
    </row>
    <row r="500" spans="1:15" ht="15" hidden="1" x14ac:dyDescent="0.2">
      <c r="A500" s="91">
        <v>31</v>
      </c>
      <c r="B500" s="93"/>
      <c r="C500" s="114">
        <v>7280</v>
      </c>
      <c r="D500" s="159">
        <v>2243</v>
      </c>
      <c r="E500" s="159">
        <v>1837</v>
      </c>
      <c r="F500" s="159">
        <v>1219</v>
      </c>
      <c r="G500" s="159">
        <v>901</v>
      </c>
      <c r="H500" s="161">
        <v>636</v>
      </c>
      <c r="J500" s="107"/>
      <c r="K500" s="107"/>
      <c r="L500" s="107"/>
      <c r="M500" s="107"/>
      <c r="N500" s="107"/>
      <c r="O500" s="107"/>
    </row>
    <row r="501" spans="1:15" ht="15" hidden="1" x14ac:dyDescent="0.2">
      <c r="A501" s="91">
        <v>32</v>
      </c>
      <c r="B501" s="93"/>
      <c r="C501" s="114">
        <v>7307</v>
      </c>
      <c r="D501" s="159">
        <v>2296</v>
      </c>
      <c r="E501" s="159">
        <v>1890</v>
      </c>
      <c r="F501" s="159">
        <v>1254</v>
      </c>
      <c r="G501" s="159">
        <v>918</v>
      </c>
      <c r="H501" s="161">
        <v>653</v>
      </c>
      <c r="J501" s="107"/>
      <c r="K501" s="107"/>
      <c r="L501" s="107"/>
      <c r="M501" s="107"/>
      <c r="N501" s="107"/>
      <c r="O501" s="107"/>
    </row>
    <row r="502" spans="1:15" ht="15" hidden="1" x14ac:dyDescent="0.2">
      <c r="A502" s="91">
        <v>33</v>
      </c>
      <c r="B502" s="93"/>
      <c r="C502" s="114">
        <v>8122</v>
      </c>
      <c r="D502" s="159">
        <v>2349</v>
      </c>
      <c r="E502" s="159">
        <v>1943</v>
      </c>
      <c r="F502" s="159">
        <v>1289</v>
      </c>
      <c r="G502" s="159">
        <v>936</v>
      </c>
      <c r="H502" s="161">
        <v>671</v>
      </c>
      <c r="J502" s="107"/>
      <c r="K502" s="107"/>
      <c r="L502" s="107"/>
      <c r="M502" s="107"/>
      <c r="N502" s="107"/>
      <c r="O502" s="107"/>
    </row>
    <row r="503" spans="1:15" ht="15" hidden="1" x14ac:dyDescent="0.2">
      <c r="A503" s="91">
        <v>34</v>
      </c>
      <c r="B503" s="93"/>
      <c r="C503" s="114">
        <v>8937</v>
      </c>
      <c r="D503" s="159">
        <v>2402</v>
      </c>
      <c r="E503" s="159">
        <v>1996</v>
      </c>
      <c r="F503" s="159">
        <v>1325</v>
      </c>
      <c r="G503" s="159">
        <v>971</v>
      </c>
      <c r="H503" s="161">
        <v>689</v>
      </c>
      <c r="J503" s="107"/>
      <c r="K503" s="107"/>
      <c r="L503" s="107"/>
      <c r="M503" s="107"/>
      <c r="N503" s="107"/>
      <c r="O503" s="107"/>
    </row>
    <row r="504" spans="1:15" ht="15" hidden="1" x14ac:dyDescent="0.2">
      <c r="A504" s="91">
        <v>35</v>
      </c>
      <c r="B504" s="93"/>
      <c r="C504" s="114">
        <v>9343</v>
      </c>
      <c r="D504" s="159">
        <v>2473</v>
      </c>
      <c r="E504" s="159">
        <v>2049</v>
      </c>
      <c r="F504" s="159">
        <v>1360</v>
      </c>
      <c r="G504" s="159">
        <v>989</v>
      </c>
      <c r="H504" s="161">
        <v>706</v>
      </c>
      <c r="J504" s="107"/>
      <c r="K504" s="107"/>
      <c r="L504" s="107"/>
      <c r="M504" s="107"/>
      <c r="N504" s="107"/>
      <c r="O504" s="107"/>
    </row>
    <row r="505" spans="1:15" ht="15" hidden="1" x14ac:dyDescent="0.2">
      <c r="A505" s="91">
        <v>36</v>
      </c>
      <c r="B505" s="93"/>
      <c r="C505" s="114">
        <v>9409</v>
      </c>
      <c r="D505" s="159">
        <v>2526</v>
      </c>
      <c r="E505" s="159">
        <v>2102</v>
      </c>
      <c r="F505" s="159">
        <v>1395</v>
      </c>
      <c r="G505" s="159">
        <v>1024</v>
      </c>
      <c r="H505" s="161">
        <v>724</v>
      </c>
      <c r="J505" s="107"/>
      <c r="K505" s="107"/>
      <c r="L505" s="107"/>
      <c r="M505" s="107"/>
      <c r="N505" s="107"/>
      <c r="O505" s="107"/>
    </row>
    <row r="506" spans="1:15" ht="15" hidden="1" x14ac:dyDescent="0.2">
      <c r="A506" s="91">
        <v>37</v>
      </c>
      <c r="B506" s="93"/>
      <c r="C506" s="114">
        <v>10588</v>
      </c>
      <c r="D506" s="159">
        <v>2579</v>
      </c>
      <c r="E506" s="159">
        <v>2155</v>
      </c>
      <c r="F506" s="159">
        <v>1431</v>
      </c>
      <c r="G506" s="159">
        <v>1042</v>
      </c>
      <c r="H506" s="161">
        <v>742</v>
      </c>
      <c r="J506" s="107"/>
      <c r="K506" s="107"/>
      <c r="L506" s="107"/>
      <c r="M506" s="107"/>
      <c r="N506" s="107"/>
      <c r="O506" s="107"/>
    </row>
    <row r="507" spans="1:15" ht="15" hidden="1" x14ac:dyDescent="0.2">
      <c r="A507" s="91">
        <v>38</v>
      </c>
      <c r="B507" s="93"/>
      <c r="C507" s="114">
        <v>11767</v>
      </c>
      <c r="D507" s="159">
        <v>2649</v>
      </c>
      <c r="E507" s="159">
        <v>2225</v>
      </c>
      <c r="F507" s="159">
        <v>1484</v>
      </c>
      <c r="G507" s="159">
        <v>1077</v>
      </c>
      <c r="H507" s="161">
        <v>759</v>
      </c>
      <c r="J507" s="107"/>
      <c r="K507" s="107"/>
      <c r="L507" s="107"/>
      <c r="M507" s="107"/>
      <c r="N507" s="107"/>
      <c r="O507" s="107"/>
    </row>
    <row r="508" spans="1:15" ht="15" hidden="1" x14ac:dyDescent="0.2">
      <c r="A508" s="91">
        <v>39</v>
      </c>
      <c r="B508" s="93"/>
      <c r="C508" s="114">
        <v>12946</v>
      </c>
      <c r="D508" s="159">
        <v>2720</v>
      </c>
      <c r="E508" s="159">
        <v>2296</v>
      </c>
      <c r="F508" s="159">
        <v>1537</v>
      </c>
      <c r="G508" s="159">
        <v>1113</v>
      </c>
      <c r="H508" s="161">
        <v>777</v>
      </c>
      <c r="J508" s="107"/>
      <c r="K508" s="107"/>
      <c r="L508" s="107"/>
      <c r="M508" s="107"/>
      <c r="N508" s="107"/>
      <c r="O508" s="107"/>
    </row>
    <row r="509" spans="1:15" ht="15" hidden="1" x14ac:dyDescent="0.2">
      <c r="A509" s="91">
        <v>40</v>
      </c>
      <c r="B509" s="93"/>
      <c r="C509" s="114">
        <v>14124</v>
      </c>
      <c r="D509" s="159">
        <v>2808</v>
      </c>
      <c r="E509" s="159">
        <v>2349</v>
      </c>
      <c r="F509" s="159">
        <v>1572</v>
      </c>
      <c r="G509" s="159">
        <v>1130</v>
      </c>
      <c r="H509" s="161">
        <v>795</v>
      </c>
      <c r="J509" s="107"/>
      <c r="K509" s="107"/>
      <c r="L509" s="107"/>
      <c r="M509" s="107"/>
      <c r="N509" s="107"/>
      <c r="O509" s="107"/>
    </row>
    <row r="510" spans="1:15" ht="15" hidden="1" x14ac:dyDescent="0.2">
      <c r="A510" s="91">
        <v>41</v>
      </c>
      <c r="B510" s="93"/>
      <c r="C510" s="114">
        <v>15430</v>
      </c>
      <c r="D510" s="159">
        <v>2879</v>
      </c>
      <c r="E510" s="159">
        <v>2420</v>
      </c>
      <c r="F510" s="159">
        <v>1625</v>
      </c>
      <c r="G510" s="159">
        <v>1166</v>
      </c>
      <c r="H510" s="161">
        <v>812</v>
      </c>
      <c r="J510" s="107"/>
      <c r="K510" s="107"/>
      <c r="L510" s="107"/>
      <c r="M510" s="107"/>
      <c r="N510" s="107"/>
      <c r="O510" s="107"/>
    </row>
    <row r="511" spans="1:15" ht="15" hidden="1" x14ac:dyDescent="0.2">
      <c r="A511" s="91">
        <v>42</v>
      </c>
      <c r="B511" s="93"/>
      <c r="C511" s="114"/>
      <c r="D511" s="159">
        <v>2950</v>
      </c>
      <c r="E511" s="159">
        <v>2490</v>
      </c>
      <c r="F511" s="159">
        <v>1678</v>
      </c>
      <c r="G511" s="159">
        <v>1201</v>
      </c>
      <c r="H511" s="161">
        <v>830</v>
      </c>
      <c r="J511" s="107"/>
      <c r="K511" s="107"/>
      <c r="L511" s="107"/>
      <c r="M511" s="107"/>
      <c r="N511" s="107"/>
      <c r="O511" s="107"/>
    </row>
    <row r="512" spans="1:15" ht="15" hidden="1" x14ac:dyDescent="0.2">
      <c r="A512" s="91">
        <v>43</v>
      </c>
      <c r="B512" s="93"/>
      <c r="C512" s="114"/>
      <c r="D512" s="159">
        <v>3038</v>
      </c>
      <c r="E512" s="159">
        <v>2579</v>
      </c>
      <c r="F512" s="159">
        <v>1731</v>
      </c>
      <c r="G512" s="159">
        <v>1236</v>
      </c>
      <c r="H512" s="161">
        <v>865</v>
      </c>
      <c r="J512" s="107"/>
      <c r="K512" s="107"/>
      <c r="L512" s="107"/>
      <c r="M512" s="107"/>
      <c r="N512" s="107"/>
      <c r="O512" s="107"/>
    </row>
    <row r="513" spans="1:15" ht="15" hidden="1" x14ac:dyDescent="0.2">
      <c r="A513" s="91">
        <v>44</v>
      </c>
      <c r="B513" s="93"/>
      <c r="C513" s="114"/>
      <c r="D513" s="159">
        <v>3126</v>
      </c>
      <c r="E513" s="159">
        <v>2649</v>
      </c>
      <c r="F513" s="159">
        <v>1801</v>
      </c>
      <c r="G513" s="159">
        <v>1272</v>
      </c>
      <c r="H513" s="161">
        <v>883</v>
      </c>
      <c r="J513" s="107"/>
      <c r="K513" s="107"/>
      <c r="L513" s="107"/>
      <c r="M513" s="107"/>
      <c r="N513" s="107"/>
      <c r="O513" s="107"/>
    </row>
    <row r="514" spans="1:15" ht="15" hidden="1" x14ac:dyDescent="0.2">
      <c r="A514" s="91">
        <v>45</v>
      </c>
      <c r="B514" s="93"/>
      <c r="C514" s="114"/>
      <c r="D514" s="159">
        <v>3214</v>
      </c>
      <c r="E514" s="159">
        <v>2738</v>
      </c>
      <c r="F514" s="159">
        <v>1854</v>
      </c>
      <c r="G514" s="159">
        <v>1307</v>
      </c>
      <c r="H514" s="161">
        <v>918</v>
      </c>
      <c r="J514" s="107"/>
      <c r="K514" s="107"/>
      <c r="L514" s="107"/>
      <c r="M514" s="107"/>
      <c r="N514" s="107"/>
      <c r="O514" s="107"/>
    </row>
    <row r="515" spans="1:15" ht="15" hidden="1" x14ac:dyDescent="0.2">
      <c r="A515" s="91">
        <v>46</v>
      </c>
      <c r="B515" s="93"/>
      <c r="C515" s="114"/>
      <c r="D515" s="159">
        <v>3303</v>
      </c>
      <c r="E515" s="159">
        <v>2826</v>
      </c>
      <c r="F515" s="159">
        <v>1907</v>
      </c>
      <c r="G515" s="159">
        <v>1342</v>
      </c>
      <c r="H515" s="161">
        <v>936</v>
      </c>
      <c r="J515" s="107"/>
      <c r="K515" s="107"/>
      <c r="L515" s="107"/>
      <c r="M515" s="107"/>
      <c r="N515" s="107"/>
      <c r="O515" s="107"/>
    </row>
    <row r="516" spans="1:15" ht="15" hidden="1" x14ac:dyDescent="0.2">
      <c r="A516" s="91">
        <v>47</v>
      </c>
      <c r="B516" s="93"/>
      <c r="C516" s="114"/>
      <c r="D516" s="159">
        <v>3391</v>
      </c>
      <c r="E516" s="159">
        <v>2897</v>
      </c>
      <c r="F516" s="159">
        <v>1978</v>
      </c>
      <c r="G516" s="159">
        <v>1378</v>
      </c>
      <c r="H516" s="161">
        <v>954</v>
      </c>
      <c r="J516" s="107"/>
      <c r="K516" s="107"/>
      <c r="L516" s="107"/>
      <c r="M516" s="107"/>
      <c r="N516" s="107"/>
      <c r="O516" s="107"/>
    </row>
    <row r="517" spans="1:15" ht="15" hidden="1" x14ac:dyDescent="0.2">
      <c r="A517" s="91">
        <v>48</v>
      </c>
      <c r="B517" s="93"/>
      <c r="C517" s="114"/>
      <c r="D517" s="159">
        <v>3532</v>
      </c>
      <c r="E517" s="159">
        <v>3020</v>
      </c>
      <c r="F517" s="159">
        <v>2066</v>
      </c>
      <c r="G517" s="159">
        <v>1431</v>
      </c>
      <c r="H517" s="161">
        <v>989</v>
      </c>
      <c r="J517" s="107"/>
      <c r="K517" s="107"/>
      <c r="L517" s="107"/>
      <c r="M517" s="107"/>
      <c r="N517" s="107"/>
      <c r="O517" s="107"/>
    </row>
    <row r="518" spans="1:15" ht="15" hidden="1" x14ac:dyDescent="0.2">
      <c r="A518" s="91">
        <v>49</v>
      </c>
      <c r="B518" s="93"/>
      <c r="C518" s="114"/>
      <c r="D518" s="159">
        <v>3656</v>
      </c>
      <c r="E518" s="159">
        <v>3126</v>
      </c>
      <c r="F518" s="159">
        <v>2137</v>
      </c>
      <c r="G518" s="159">
        <v>1484</v>
      </c>
      <c r="H518" s="161">
        <v>1024</v>
      </c>
      <c r="J518" s="107"/>
      <c r="K518" s="107"/>
      <c r="L518" s="107"/>
      <c r="M518" s="107"/>
      <c r="N518" s="107"/>
      <c r="O518" s="107"/>
    </row>
    <row r="519" spans="1:15" ht="15" hidden="1" x14ac:dyDescent="0.2">
      <c r="A519" s="91">
        <v>50</v>
      </c>
      <c r="B519" s="93"/>
      <c r="C519" s="114"/>
      <c r="D519" s="159">
        <v>3780</v>
      </c>
      <c r="E519" s="159">
        <v>3232</v>
      </c>
      <c r="F519" s="159">
        <v>2225</v>
      </c>
      <c r="G519" s="159">
        <v>1537</v>
      </c>
      <c r="H519" s="161">
        <v>1042</v>
      </c>
      <c r="J519" s="107"/>
      <c r="K519" s="107"/>
      <c r="L519" s="107"/>
      <c r="M519" s="107"/>
      <c r="N519" s="107"/>
      <c r="O519" s="107"/>
    </row>
    <row r="520" spans="1:15" ht="15" hidden="1" x14ac:dyDescent="0.2">
      <c r="A520" s="91">
        <v>51</v>
      </c>
      <c r="B520" s="93"/>
      <c r="C520" s="114"/>
      <c r="D520" s="159">
        <v>3903</v>
      </c>
      <c r="E520" s="159">
        <v>3356</v>
      </c>
      <c r="F520" s="159">
        <v>2314</v>
      </c>
      <c r="G520" s="159">
        <v>1590</v>
      </c>
      <c r="H520" s="161">
        <v>1077</v>
      </c>
      <c r="J520" s="107"/>
      <c r="K520" s="107"/>
      <c r="L520" s="107"/>
      <c r="M520" s="107"/>
      <c r="N520" s="107"/>
      <c r="O520" s="107"/>
    </row>
    <row r="521" spans="1:15" ht="15" hidden="1" x14ac:dyDescent="0.2">
      <c r="A521" s="91">
        <v>52</v>
      </c>
      <c r="B521" s="93"/>
      <c r="C521" s="114"/>
      <c r="D521" s="159">
        <v>4027</v>
      </c>
      <c r="E521" s="159">
        <v>3462</v>
      </c>
      <c r="F521" s="159">
        <v>2384</v>
      </c>
      <c r="G521" s="159">
        <v>1643</v>
      </c>
      <c r="H521" s="161">
        <v>1113</v>
      </c>
      <c r="J521" s="107"/>
      <c r="K521" s="107"/>
      <c r="L521" s="107"/>
      <c r="M521" s="107"/>
      <c r="N521" s="107"/>
      <c r="O521" s="107"/>
    </row>
    <row r="522" spans="1:15" ht="15" hidden="1" x14ac:dyDescent="0.2">
      <c r="A522" s="91">
        <v>53</v>
      </c>
      <c r="B522" s="93"/>
      <c r="C522" s="114"/>
      <c r="D522" s="159">
        <v>4186</v>
      </c>
      <c r="E522" s="159">
        <v>3603</v>
      </c>
      <c r="F522" s="159">
        <v>2490</v>
      </c>
      <c r="G522" s="159">
        <v>1696</v>
      </c>
      <c r="H522" s="161">
        <v>1148</v>
      </c>
      <c r="J522" s="107"/>
      <c r="K522" s="107"/>
      <c r="L522" s="107"/>
      <c r="M522" s="107"/>
      <c r="N522" s="107"/>
      <c r="O522" s="107"/>
    </row>
    <row r="523" spans="1:15" ht="15" hidden="1" x14ac:dyDescent="0.2">
      <c r="A523" s="91">
        <v>54</v>
      </c>
      <c r="B523" s="93"/>
      <c r="C523" s="114"/>
      <c r="D523" s="159">
        <v>4345</v>
      </c>
      <c r="E523" s="159">
        <v>3744</v>
      </c>
      <c r="F523" s="159">
        <v>2596</v>
      </c>
      <c r="G523" s="159">
        <v>1766</v>
      </c>
      <c r="H523" s="161">
        <v>1166</v>
      </c>
      <c r="J523" s="107"/>
      <c r="K523" s="107"/>
      <c r="L523" s="107"/>
      <c r="M523" s="107"/>
      <c r="N523" s="107"/>
      <c r="O523" s="107"/>
    </row>
    <row r="524" spans="1:15" ht="15" hidden="1" x14ac:dyDescent="0.2">
      <c r="A524" s="91">
        <v>55</v>
      </c>
      <c r="B524" s="93"/>
      <c r="C524" s="114"/>
      <c r="D524" s="159">
        <v>4504</v>
      </c>
      <c r="E524" s="159">
        <v>3886</v>
      </c>
      <c r="F524" s="159">
        <v>2702</v>
      </c>
      <c r="G524" s="159">
        <v>1819</v>
      </c>
      <c r="H524" s="161">
        <v>1201</v>
      </c>
      <c r="J524" s="107"/>
      <c r="K524" s="107"/>
      <c r="L524" s="107"/>
      <c r="M524" s="107"/>
      <c r="N524" s="107"/>
      <c r="O524" s="107"/>
    </row>
    <row r="525" spans="1:15" ht="15" hidden="1" x14ac:dyDescent="0.2">
      <c r="A525" s="91">
        <v>56</v>
      </c>
      <c r="B525" s="93"/>
      <c r="C525" s="114"/>
      <c r="D525" s="159">
        <v>4663</v>
      </c>
      <c r="E525" s="159">
        <v>4027</v>
      </c>
      <c r="F525" s="159">
        <v>2808</v>
      </c>
      <c r="G525" s="159">
        <v>1890</v>
      </c>
      <c r="H525" s="161">
        <v>1236</v>
      </c>
      <c r="J525" s="107"/>
      <c r="K525" s="107"/>
      <c r="L525" s="107"/>
      <c r="M525" s="107"/>
      <c r="N525" s="107"/>
      <c r="O525" s="107"/>
    </row>
    <row r="526" spans="1:15" ht="15" hidden="1" x14ac:dyDescent="0.2">
      <c r="A526" s="91">
        <v>57</v>
      </c>
      <c r="B526" s="93"/>
      <c r="C526" s="114"/>
      <c r="D526" s="159">
        <v>4822</v>
      </c>
      <c r="E526" s="159">
        <v>4168</v>
      </c>
      <c r="F526" s="159">
        <v>2914</v>
      </c>
      <c r="G526" s="159">
        <v>1960</v>
      </c>
      <c r="H526" s="161">
        <v>1272</v>
      </c>
      <c r="J526" s="107"/>
      <c r="K526" s="107"/>
      <c r="L526" s="107"/>
      <c r="M526" s="107"/>
      <c r="N526" s="107"/>
      <c r="O526" s="107"/>
    </row>
    <row r="527" spans="1:15" ht="15" hidden="1" x14ac:dyDescent="0.2">
      <c r="A527" s="91">
        <v>58</v>
      </c>
      <c r="B527" s="93"/>
      <c r="C527" s="114"/>
      <c r="D527" s="159">
        <v>5034</v>
      </c>
      <c r="E527" s="159">
        <v>4345</v>
      </c>
      <c r="F527" s="159">
        <v>3073</v>
      </c>
      <c r="G527" s="159">
        <v>2031</v>
      </c>
      <c r="H527" s="161">
        <v>1307</v>
      </c>
      <c r="J527" s="107"/>
      <c r="K527" s="107"/>
      <c r="L527" s="107"/>
      <c r="M527" s="107"/>
      <c r="N527" s="107"/>
      <c r="O527" s="107"/>
    </row>
    <row r="528" spans="1:15" ht="15" hidden="1" x14ac:dyDescent="0.2">
      <c r="A528" s="91">
        <v>59</v>
      </c>
      <c r="B528" s="93"/>
      <c r="C528" s="114"/>
      <c r="D528" s="159">
        <v>5228</v>
      </c>
      <c r="E528" s="159">
        <v>4521</v>
      </c>
      <c r="F528" s="159">
        <v>3214</v>
      </c>
      <c r="G528" s="159">
        <v>2119</v>
      </c>
      <c r="H528" s="161">
        <v>1342</v>
      </c>
      <c r="J528" s="107"/>
      <c r="K528" s="107"/>
      <c r="L528" s="107"/>
      <c r="M528" s="107"/>
      <c r="N528" s="107"/>
      <c r="O528" s="107"/>
    </row>
    <row r="529" spans="1:15" ht="15" hidden="1" x14ac:dyDescent="0.2">
      <c r="A529" s="91">
        <v>60</v>
      </c>
      <c r="B529" s="93"/>
      <c r="C529" s="114"/>
      <c r="D529" s="159">
        <v>5440</v>
      </c>
      <c r="E529" s="159">
        <v>4716</v>
      </c>
      <c r="F529" s="159">
        <v>3356</v>
      </c>
      <c r="G529" s="159">
        <v>2208</v>
      </c>
      <c r="H529" s="161">
        <v>1395</v>
      </c>
      <c r="J529" s="107"/>
      <c r="K529" s="107"/>
      <c r="L529" s="107"/>
      <c r="M529" s="107"/>
      <c r="N529" s="107"/>
      <c r="O529" s="107"/>
    </row>
    <row r="530" spans="1:15" ht="15" hidden="1" x14ac:dyDescent="0.2">
      <c r="A530" s="91">
        <v>61</v>
      </c>
      <c r="B530" s="93"/>
      <c r="C530" s="114"/>
      <c r="D530" s="159">
        <v>5740</v>
      </c>
      <c r="E530" s="159">
        <v>4963</v>
      </c>
      <c r="F530" s="159">
        <v>3550</v>
      </c>
      <c r="G530" s="159">
        <v>2314</v>
      </c>
      <c r="H530" s="161">
        <v>1431</v>
      </c>
      <c r="J530" s="107"/>
      <c r="K530" s="107"/>
      <c r="L530" s="107"/>
      <c r="M530" s="107"/>
      <c r="N530" s="107"/>
      <c r="O530" s="107"/>
    </row>
    <row r="531" spans="1:15" ht="15" hidden="1" x14ac:dyDescent="0.2">
      <c r="A531" s="91">
        <v>62</v>
      </c>
      <c r="B531" s="93"/>
      <c r="C531" s="114"/>
      <c r="D531" s="159">
        <v>6129</v>
      </c>
      <c r="E531" s="159">
        <v>5316</v>
      </c>
      <c r="F531" s="159">
        <v>3815</v>
      </c>
      <c r="G531" s="159">
        <v>2473</v>
      </c>
      <c r="H531" s="161">
        <v>1501</v>
      </c>
      <c r="J531" s="107"/>
      <c r="K531" s="107"/>
      <c r="L531" s="107"/>
      <c r="M531" s="107"/>
      <c r="N531" s="107"/>
      <c r="O531" s="107"/>
    </row>
    <row r="532" spans="1:15" ht="15" hidden="1" x14ac:dyDescent="0.2">
      <c r="A532" s="91">
        <v>63</v>
      </c>
      <c r="B532" s="93"/>
      <c r="C532" s="114"/>
      <c r="D532" s="159">
        <v>6711</v>
      </c>
      <c r="E532" s="159">
        <v>5811</v>
      </c>
      <c r="F532" s="159">
        <v>4186</v>
      </c>
      <c r="G532" s="159">
        <v>2702</v>
      </c>
      <c r="H532" s="161">
        <v>1572</v>
      </c>
      <c r="J532" s="107"/>
      <c r="K532" s="107"/>
      <c r="L532" s="107"/>
      <c r="M532" s="107"/>
      <c r="N532" s="107"/>
      <c r="O532" s="107"/>
    </row>
    <row r="533" spans="1:15" ht="15" hidden="1" x14ac:dyDescent="0.2">
      <c r="A533" s="91">
        <v>64</v>
      </c>
      <c r="B533" s="93"/>
      <c r="C533" s="114"/>
      <c r="D533" s="159">
        <v>7506</v>
      </c>
      <c r="E533" s="159">
        <v>6500</v>
      </c>
      <c r="F533" s="159">
        <v>4698</v>
      </c>
      <c r="G533" s="159">
        <v>3020</v>
      </c>
      <c r="H533" s="161">
        <v>1678</v>
      </c>
      <c r="J533" s="107"/>
      <c r="K533" s="107"/>
      <c r="L533" s="107"/>
      <c r="M533" s="107"/>
      <c r="N533" s="107"/>
      <c r="O533" s="107"/>
    </row>
    <row r="534" spans="1:15" ht="15" hidden="1" x14ac:dyDescent="0.2">
      <c r="A534" s="91">
        <v>65</v>
      </c>
      <c r="B534" s="93"/>
      <c r="C534" s="114"/>
      <c r="D534" s="159">
        <v>8531</v>
      </c>
      <c r="E534" s="159">
        <v>7383</v>
      </c>
      <c r="F534" s="159">
        <v>5352</v>
      </c>
      <c r="G534" s="159">
        <v>3426</v>
      </c>
      <c r="H534" s="161">
        <v>1837</v>
      </c>
      <c r="J534" s="107"/>
      <c r="K534" s="107"/>
      <c r="L534" s="107"/>
      <c r="M534" s="107"/>
      <c r="N534" s="107"/>
      <c r="O534" s="107"/>
    </row>
    <row r="535" spans="1:15" ht="15" hidden="1" x14ac:dyDescent="0.2">
      <c r="A535" s="91">
        <v>66</v>
      </c>
      <c r="B535" s="93"/>
      <c r="C535" s="114"/>
      <c r="D535" s="159">
        <v>9785</v>
      </c>
      <c r="E535" s="159">
        <v>8495</v>
      </c>
      <c r="F535" s="159">
        <v>6146</v>
      </c>
      <c r="G535" s="159">
        <v>3903</v>
      </c>
      <c r="H535" s="161">
        <v>2031</v>
      </c>
      <c r="J535" s="107"/>
      <c r="K535" s="107"/>
      <c r="L535" s="107"/>
      <c r="M535" s="107"/>
      <c r="N535" s="107"/>
      <c r="O535" s="107"/>
    </row>
    <row r="536" spans="1:15" ht="15" hidden="1" x14ac:dyDescent="0.2">
      <c r="A536" s="91">
        <v>67</v>
      </c>
      <c r="B536" s="93"/>
      <c r="C536" s="114"/>
      <c r="D536" s="159">
        <v>11198</v>
      </c>
      <c r="E536" s="159">
        <v>9749</v>
      </c>
      <c r="F536" s="159">
        <v>7065</v>
      </c>
      <c r="G536" s="159">
        <v>4451</v>
      </c>
      <c r="H536" s="161">
        <v>2296</v>
      </c>
      <c r="J536" s="107"/>
      <c r="K536" s="107"/>
      <c r="L536" s="107"/>
      <c r="M536" s="107"/>
      <c r="N536" s="107"/>
      <c r="O536" s="107"/>
    </row>
    <row r="537" spans="1:15" ht="15" hidden="1" x14ac:dyDescent="0.2">
      <c r="A537" s="91">
        <v>68</v>
      </c>
      <c r="B537" s="93"/>
      <c r="C537" s="114"/>
      <c r="D537" s="159">
        <v>12716</v>
      </c>
      <c r="E537" s="159">
        <v>11109</v>
      </c>
      <c r="F537" s="159">
        <v>8036</v>
      </c>
      <c r="G537" s="159">
        <v>5051</v>
      </c>
      <c r="H537" s="161">
        <v>2579</v>
      </c>
      <c r="J537" s="107"/>
      <c r="K537" s="107"/>
      <c r="L537" s="107"/>
      <c r="M537" s="107"/>
      <c r="N537" s="107"/>
      <c r="O537" s="107"/>
    </row>
    <row r="538" spans="1:15" ht="15" hidden="1" x14ac:dyDescent="0.2">
      <c r="A538" s="91">
        <v>69</v>
      </c>
      <c r="B538" s="93"/>
      <c r="C538" s="114"/>
      <c r="D538" s="159">
        <v>14306</v>
      </c>
      <c r="E538" s="159">
        <v>12540</v>
      </c>
      <c r="F538" s="159">
        <v>9060</v>
      </c>
      <c r="G538" s="159">
        <v>5687</v>
      </c>
      <c r="H538" s="161">
        <v>2897</v>
      </c>
      <c r="J538" s="107"/>
      <c r="K538" s="107"/>
      <c r="L538" s="107"/>
      <c r="M538" s="107"/>
      <c r="N538" s="107"/>
      <c r="O538" s="107"/>
    </row>
    <row r="539" spans="1:15" ht="15" hidden="1" x14ac:dyDescent="0.2">
      <c r="A539" s="91">
        <v>70</v>
      </c>
      <c r="B539" s="93"/>
      <c r="C539" s="114"/>
      <c r="D539" s="159">
        <v>15949</v>
      </c>
      <c r="E539" s="159">
        <v>14006</v>
      </c>
      <c r="F539" s="159">
        <v>10156</v>
      </c>
      <c r="G539" s="159">
        <v>6394</v>
      </c>
      <c r="H539" s="161">
        <v>3232</v>
      </c>
      <c r="J539" s="107"/>
      <c r="K539" s="107"/>
      <c r="L539" s="107"/>
      <c r="M539" s="107"/>
      <c r="N539" s="107"/>
      <c r="O539" s="107"/>
    </row>
    <row r="540" spans="1:15" ht="15" hidden="1" x14ac:dyDescent="0.2">
      <c r="A540" s="91">
        <v>71</v>
      </c>
      <c r="B540" s="93"/>
      <c r="C540" s="114"/>
      <c r="D540" s="159">
        <v>17644</v>
      </c>
      <c r="E540" s="159">
        <v>15542</v>
      </c>
      <c r="F540" s="159">
        <v>11304</v>
      </c>
      <c r="G540" s="159">
        <v>7135</v>
      </c>
      <c r="H540" s="161">
        <v>3585</v>
      </c>
      <c r="J540" s="107"/>
      <c r="K540" s="107"/>
      <c r="L540" s="107"/>
      <c r="M540" s="107"/>
      <c r="N540" s="107"/>
      <c r="O540" s="107"/>
    </row>
    <row r="541" spans="1:15" ht="15" hidden="1" x14ac:dyDescent="0.2">
      <c r="A541" s="91">
        <v>72</v>
      </c>
      <c r="B541" s="93"/>
      <c r="C541" s="114"/>
      <c r="D541" s="159">
        <v>19393</v>
      </c>
      <c r="E541" s="159">
        <v>17097</v>
      </c>
      <c r="F541" s="159">
        <v>12505</v>
      </c>
      <c r="G541" s="159">
        <v>7930</v>
      </c>
      <c r="H541" s="161">
        <v>3956</v>
      </c>
      <c r="J541" s="107"/>
      <c r="K541" s="107"/>
      <c r="L541" s="107"/>
      <c r="M541" s="107"/>
      <c r="N541" s="107"/>
      <c r="O541" s="107"/>
    </row>
    <row r="542" spans="1:15" ht="15" hidden="1" x14ac:dyDescent="0.2">
      <c r="A542" s="91">
        <v>73</v>
      </c>
      <c r="B542" s="93"/>
      <c r="C542" s="114"/>
      <c r="D542" s="159">
        <v>21176</v>
      </c>
      <c r="E542" s="159">
        <v>18704</v>
      </c>
      <c r="F542" s="159">
        <v>13776</v>
      </c>
      <c r="G542" s="159">
        <v>8778</v>
      </c>
      <c r="H542" s="161">
        <v>4345</v>
      </c>
      <c r="J542" s="107"/>
      <c r="K542" s="107"/>
      <c r="L542" s="107"/>
      <c r="M542" s="107"/>
      <c r="N542" s="107"/>
      <c r="O542" s="107"/>
    </row>
    <row r="543" spans="1:15" ht="15" hidden="1" x14ac:dyDescent="0.2">
      <c r="A543" s="91">
        <v>74</v>
      </c>
      <c r="B543" s="93"/>
      <c r="C543" s="114"/>
      <c r="D543" s="159">
        <v>22978</v>
      </c>
      <c r="E543" s="159">
        <v>20346</v>
      </c>
      <c r="F543" s="159">
        <v>15101</v>
      </c>
      <c r="G543" s="159">
        <v>9679</v>
      </c>
      <c r="H543" s="161">
        <v>4733</v>
      </c>
      <c r="J543" s="107"/>
      <c r="K543" s="107"/>
      <c r="L543" s="107"/>
      <c r="M543" s="107"/>
      <c r="N543" s="107"/>
      <c r="O543" s="107"/>
    </row>
    <row r="544" spans="1:15" ht="15" hidden="1" x14ac:dyDescent="0.2">
      <c r="A544" s="91">
        <v>75</v>
      </c>
      <c r="B544" s="93"/>
      <c r="C544" s="114"/>
      <c r="D544" s="159">
        <v>24832</v>
      </c>
      <c r="E544" s="159">
        <v>22007</v>
      </c>
      <c r="F544" s="159">
        <v>16478</v>
      </c>
      <c r="G544" s="159">
        <v>10632</v>
      </c>
      <c r="H544" s="161">
        <v>5140</v>
      </c>
      <c r="J544" s="107"/>
      <c r="K544" s="107"/>
      <c r="L544" s="107"/>
      <c r="M544" s="107"/>
      <c r="N544" s="107"/>
      <c r="O544" s="107"/>
    </row>
    <row r="545" spans="1:15" ht="15" hidden="1" x14ac:dyDescent="0.2">
      <c r="A545" s="91">
        <v>76</v>
      </c>
      <c r="B545" s="93"/>
      <c r="C545" s="114"/>
      <c r="D545" s="159">
        <v>26705</v>
      </c>
      <c r="E545" s="159">
        <v>23702</v>
      </c>
      <c r="F545" s="159">
        <v>17909</v>
      </c>
      <c r="G545" s="159">
        <v>11639</v>
      </c>
      <c r="H545" s="161">
        <v>5563</v>
      </c>
      <c r="J545" s="107"/>
      <c r="K545" s="107"/>
      <c r="L545" s="107"/>
      <c r="M545" s="107"/>
      <c r="N545" s="107"/>
      <c r="O545" s="107"/>
    </row>
    <row r="546" spans="1:15" ht="15" hidden="1" x14ac:dyDescent="0.2">
      <c r="A546" s="91">
        <v>77</v>
      </c>
      <c r="B546" s="93"/>
      <c r="C546" s="114"/>
      <c r="D546" s="159">
        <v>28612</v>
      </c>
      <c r="E546" s="159">
        <v>25415</v>
      </c>
      <c r="F546" s="159">
        <v>19393</v>
      </c>
      <c r="G546" s="159">
        <v>12699</v>
      </c>
      <c r="H546" s="161">
        <v>6005</v>
      </c>
      <c r="J546" s="107"/>
      <c r="K546" s="107"/>
      <c r="L546" s="107"/>
      <c r="M546" s="107"/>
      <c r="N546" s="107"/>
      <c r="O546" s="107"/>
    </row>
    <row r="547" spans="1:15" ht="15" hidden="1" x14ac:dyDescent="0.2">
      <c r="A547" s="91">
        <v>78</v>
      </c>
      <c r="B547" s="93"/>
      <c r="C547" s="114"/>
      <c r="D547" s="159">
        <v>30537</v>
      </c>
      <c r="E547" s="159">
        <v>27164</v>
      </c>
      <c r="F547" s="159">
        <v>20947</v>
      </c>
      <c r="G547" s="159">
        <v>13811</v>
      </c>
      <c r="H547" s="161">
        <v>6447</v>
      </c>
      <c r="J547" s="107"/>
      <c r="K547" s="107"/>
      <c r="L547" s="107"/>
      <c r="M547" s="107"/>
      <c r="N547" s="107"/>
      <c r="O547" s="107"/>
    </row>
    <row r="548" spans="1:15" ht="15" hidden="1" x14ac:dyDescent="0.2">
      <c r="A548" s="91">
        <v>79</v>
      </c>
      <c r="B548" s="93"/>
      <c r="C548" s="114"/>
      <c r="D548" s="159">
        <v>32480</v>
      </c>
      <c r="E548" s="159">
        <v>28912</v>
      </c>
      <c r="F548" s="159">
        <v>22554</v>
      </c>
      <c r="G548" s="159">
        <v>14959</v>
      </c>
      <c r="H548" s="161">
        <v>6923</v>
      </c>
      <c r="J548" s="107"/>
      <c r="K548" s="107"/>
      <c r="L548" s="107"/>
      <c r="M548" s="107"/>
      <c r="N548" s="107"/>
      <c r="O548" s="107"/>
    </row>
    <row r="549" spans="1:15" ht="15" hidden="1" x14ac:dyDescent="0.2">
      <c r="A549" s="91">
        <v>80</v>
      </c>
      <c r="B549" s="158" t="s">
        <v>198</v>
      </c>
      <c r="C549" s="114"/>
      <c r="D549" s="159">
        <v>34440</v>
      </c>
      <c r="E549" s="159">
        <v>30696</v>
      </c>
      <c r="F549" s="159">
        <v>24214</v>
      </c>
      <c r="G549" s="159">
        <v>16178</v>
      </c>
      <c r="H549" s="161">
        <v>7383</v>
      </c>
      <c r="J549" s="107"/>
      <c r="K549" s="107"/>
      <c r="L549" s="107"/>
      <c r="M549" s="107"/>
      <c r="N549" s="107"/>
      <c r="O549" s="107"/>
    </row>
    <row r="550" spans="1:15" ht="15" hidden="1" x14ac:dyDescent="0.2">
      <c r="A550" s="91">
        <v>1</v>
      </c>
      <c r="B550" s="93" t="s">
        <v>13</v>
      </c>
      <c r="C550" s="114">
        <v>867</v>
      </c>
      <c r="D550" s="159">
        <v>918</v>
      </c>
      <c r="E550" s="159">
        <v>530</v>
      </c>
      <c r="F550" s="159">
        <v>406</v>
      </c>
      <c r="G550" s="159">
        <v>300</v>
      </c>
      <c r="H550" s="161">
        <v>212</v>
      </c>
      <c r="J550" s="107"/>
      <c r="K550" s="107"/>
      <c r="L550" s="107"/>
      <c r="M550" s="107"/>
      <c r="N550" s="107"/>
      <c r="O550" s="107"/>
    </row>
    <row r="551" spans="1:15" ht="15" hidden="1" x14ac:dyDescent="0.2">
      <c r="A551" s="91">
        <v>2</v>
      </c>
      <c r="B551" s="93" t="s">
        <v>1</v>
      </c>
      <c r="C551" s="114">
        <v>1422</v>
      </c>
      <c r="D551" s="159">
        <v>1537</v>
      </c>
      <c r="E551" s="159">
        <v>795</v>
      </c>
      <c r="F551" s="159">
        <v>636</v>
      </c>
      <c r="G551" s="159">
        <v>459</v>
      </c>
      <c r="H551" s="161">
        <v>318</v>
      </c>
      <c r="J551" s="107"/>
      <c r="K551" s="107"/>
      <c r="L551" s="107"/>
      <c r="M551" s="107"/>
      <c r="N551" s="107"/>
      <c r="O551" s="107"/>
    </row>
    <row r="552" spans="1:15" ht="15" hidden="1" x14ac:dyDescent="0.2">
      <c r="A552" s="91">
        <v>3</v>
      </c>
      <c r="B552" s="93" t="s">
        <v>14</v>
      </c>
      <c r="C552" s="114">
        <v>2080</v>
      </c>
      <c r="D552" s="159">
        <v>2261</v>
      </c>
      <c r="E552" s="159">
        <v>1148</v>
      </c>
      <c r="F552" s="159">
        <v>918</v>
      </c>
      <c r="G552" s="159">
        <v>671</v>
      </c>
      <c r="H552" s="161">
        <v>477</v>
      </c>
      <c r="J552" s="107"/>
      <c r="K552" s="107"/>
      <c r="L552" s="107"/>
      <c r="M552" s="107"/>
      <c r="N552" s="107"/>
      <c r="O552" s="107"/>
    </row>
    <row r="553" spans="1:15" hidden="1" x14ac:dyDescent="0.2">
      <c r="A553" s="91">
        <v>1</v>
      </c>
      <c r="B553" s="93" t="s">
        <v>3</v>
      </c>
      <c r="C553" s="114">
        <v>225</v>
      </c>
      <c r="D553" s="94">
        <v>225</v>
      </c>
      <c r="E553" s="94">
        <v>225</v>
      </c>
      <c r="F553" s="94">
        <v>225</v>
      </c>
      <c r="G553" s="94">
        <v>225</v>
      </c>
      <c r="H553" s="95">
        <v>225</v>
      </c>
      <c r="J553" s="107"/>
      <c r="K553" s="107"/>
      <c r="L553" s="107"/>
      <c r="M553" s="107"/>
      <c r="N553" s="107"/>
      <c r="O553" s="107"/>
    </row>
    <row r="554" spans="1:15" hidden="1" x14ac:dyDescent="0.2">
      <c r="A554" s="91">
        <v>1</v>
      </c>
      <c r="B554" s="93" t="s">
        <v>2</v>
      </c>
      <c r="C554" s="114">
        <v>250</v>
      </c>
      <c r="D554" s="94">
        <v>300</v>
      </c>
      <c r="E554" s="94">
        <v>300</v>
      </c>
      <c r="F554" s="94">
        <v>300</v>
      </c>
      <c r="G554" s="94">
        <v>300</v>
      </c>
      <c r="H554" s="95">
        <v>300</v>
      </c>
      <c r="J554" s="107"/>
      <c r="K554" s="107"/>
      <c r="L554" s="107"/>
      <c r="M554" s="107"/>
      <c r="N554" s="107"/>
      <c r="O554" s="107"/>
    </row>
    <row r="555" spans="1:15" hidden="1" x14ac:dyDescent="0.2">
      <c r="A555" s="91"/>
      <c r="B555" s="157" t="s">
        <v>195</v>
      </c>
      <c r="D555" s="94">
        <v>180</v>
      </c>
      <c r="E555" s="94">
        <v>345</v>
      </c>
      <c r="F555" s="94">
        <v>775</v>
      </c>
      <c r="G555" s="94">
        <v>1330</v>
      </c>
      <c r="H555" s="95">
        <v>2080</v>
      </c>
    </row>
    <row r="556" spans="1:15" ht="18" hidden="1" x14ac:dyDescent="0.25">
      <c r="A556" s="325" t="s">
        <v>35</v>
      </c>
      <c r="B556" s="326"/>
      <c r="C556" s="326"/>
      <c r="D556" s="326"/>
      <c r="E556" s="326"/>
      <c r="F556" s="326"/>
      <c r="G556" s="326"/>
      <c r="H556" s="327"/>
    </row>
    <row r="557" spans="1:15" hidden="1" x14ac:dyDescent="0.2">
      <c r="A557" s="328" t="s">
        <v>0</v>
      </c>
      <c r="B557" s="329"/>
      <c r="C557" s="329"/>
      <c r="D557" s="329"/>
      <c r="E557" s="329"/>
      <c r="F557" s="329"/>
      <c r="G557" s="329"/>
      <c r="H557" s="90"/>
    </row>
    <row r="558" spans="1:15" hidden="1" x14ac:dyDescent="0.2">
      <c r="A558" s="91" t="s">
        <v>4</v>
      </c>
      <c r="B558" s="92" t="s">
        <v>4</v>
      </c>
      <c r="C558" s="155" t="s">
        <v>69</v>
      </c>
      <c r="D558" s="154" t="s">
        <v>70</v>
      </c>
      <c r="E558" s="154" t="s">
        <v>71</v>
      </c>
      <c r="F558" s="154" t="s">
        <v>72</v>
      </c>
      <c r="G558" s="154" t="s">
        <v>73</v>
      </c>
      <c r="H558" s="90" t="s">
        <v>74</v>
      </c>
    </row>
    <row r="559" spans="1:15" hidden="1" x14ac:dyDescent="0.2">
      <c r="A559" s="91">
        <v>18</v>
      </c>
      <c r="B559" s="93"/>
      <c r="C559" s="114">
        <f t="shared" ref="C559:H559" si="54">+C487*$L$2</f>
        <v>1013.8900000000001</v>
      </c>
      <c r="D559" s="94">
        <f t="shared" si="54"/>
        <v>954.53000000000009</v>
      </c>
      <c r="E559" s="94">
        <f t="shared" si="54"/>
        <v>739.35</v>
      </c>
      <c r="F559" s="94">
        <f t="shared" si="54"/>
        <v>496.08000000000004</v>
      </c>
      <c r="G559" s="94">
        <f t="shared" si="54"/>
        <v>374.18</v>
      </c>
      <c r="H559" s="95">
        <f t="shared" si="54"/>
        <v>262.35000000000002</v>
      </c>
    </row>
    <row r="560" spans="1:15" hidden="1" x14ac:dyDescent="0.2">
      <c r="A560" s="91">
        <v>19</v>
      </c>
      <c r="B560" s="93"/>
      <c r="C560" s="114">
        <f t="shared" ref="C560:H560" si="55">+C488*$L$2</f>
        <v>1124.6600000000001</v>
      </c>
      <c r="D560" s="94">
        <f t="shared" si="55"/>
        <v>973.61</v>
      </c>
      <c r="E560" s="94">
        <f t="shared" si="55"/>
        <v>748.89</v>
      </c>
      <c r="F560" s="94">
        <f t="shared" si="55"/>
        <v>505.62</v>
      </c>
      <c r="G560" s="94">
        <f t="shared" si="55"/>
        <v>374.18</v>
      </c>
      <c r="H560" s="95">
        <f t="shared" si="55"/>
        <v>271.36</v>
      </c>
    </row>
    <row r="561" spans="1:8" hidden="1" x14ac:dyDescent="0.2">
      <c r="A561" s="91">
        <v>20</v>
      </c>
      <c r="B561" s="93"/>
      <c r="C561" s="114">
        <f t="shared" ref="C561:H561" si="56">+C489*$L$2</f>
        <v>1297.97</v>
      </c>
      <c r="D561" s="94">
        <f t="shared" si="56"/>
        <v>982.62</v>
      </c>
      <c r="E561" s="94">
        <f t="shared" si="56"/>
        <v>767.44</v>
      </c>
      <c r="F561" s="94">
        <f t="shared" si="56"/>
        <v>514.63</v>
      </c>
      <c r="G561" s="94">
        <f t="shared" si="56"/>
        <v>383.72</v>
      </c>
      <c r="H561" s="95">
        <f t="shared" si="56"/>
        <v>271.36</v>
      </c>
    </row>
    <row r="562" spans="1:8" hidden="1" x14ac:dyDescent="0.2">
      <c r="A562" s="91">
        <v>21</v>
      </c>
      <c r="B562" s="93"/>
      <c r="C562" s="114">
        <f t="shared" ref="C562:H562" si="57">+C490*$L$2</f>
        <v>1437.3600000000001</v>
      </c>
      <c r="D562" s="94">
        <f t="shared" si="57"/>
        <v>1001.7</v>
      </c>
      <c r="E562" s="94">
        <f t="shared" si="57"/>
        <v>786.5200000000001</v>
      </c>
      <c r="F562" s="94">
        <f t="shared" si="57"/>
        <v>524.17000000000007</v>
      </c>
      <c r="G562" s="94">
        <f t="shared" si="57"/>
        <v>393.26000000000005</v>
      </c>
      <c r="H562" s="95">
        <f t="shared" si="57"/>
        <v>280.90000000000003</v>
      </c>
    </row>
    <row r="563" spans="1:8" hidden="1" x14ac:dyDescent="0.2">
      <c r="A563" s="91">
        <v>22</v>
      </c>
      <c r="B563" s="93"/>
      <c r="C563" s="114">
        <f t="shared" ref="C563:H563" si="58">+C491*$L$2</f>
        <v>1621.27</v>
      </c>
      <c r="D563" s="94">
        <f t="shared" si="58"/>
        <v>1020.25</v>
      </c>
      <c r="E563" s="94">
        <f t="shared" si="58"/>
        <v>805.07</v>
      </c>
      <c r="F563" s="94">
        <f t="shared" si="58"/>
        <v>533.71</v>
      </c>
      <c r="G563" s="94">
        <f t="shared" si="58"/>
        <v>402.27000000000004</v>
      </c>
      <c r="H563" s="95">
        <f t="shared" si="58"/>
        <v>280.90000000000003</v>
      </c>
    </row>
    <row r="564" spans="1:8" hidden="1" x14ac:dyDescent="0.2">
      <c r="A564" s="91">
        <v>23</v>
      </c>
      <c r="B564" s="93"/>
      <c r="C564" s="114">
        <f t="shared" ref="C564:H564" si="59">+C492*$L$2</f>
        <v>1877.7900000000002</v>
      </c>
      <c r="D564" s="94">
        <f t="shared" si="59"/>
        <v>1029.79</v>
      </c>
      <c r="E564" s="94">
        <f t="shared" si="59"/>
        <v>814.61</v>
      </c>
      <c r="F564" s="94">
        <f t="shared" si="59"/>
        <v>542.72</v>
      </c>
      <c r="G564" s="94">
        <f t="shared" si="59"/>
        <v>402.27000000000004</v>
      </c>
      <c r="H564" s="95">
        <f t="shared" si="59"/>
        <v>290.44</v>
      </c>
    </row>
    <row r="565" spans="1:8" hidden="1" x14ac:dyDescent="0.2">
      <c r="A565" s="91">
        <v>24</v>
      </c>
      <c r="B565" s="93"/>
      <c r="C565" s="114">
        <f t="shared" ref="C565:H565" si="60">+C493*$L$2</f>
        <v>2053.75</v>
      </c>
      <c r="D565" s="94">
        <f t="shared" si="60"/>
        <v>1048.3400000000001</v>
      </c>
      <c r="E565" s="94">
        <f t="shared" si="60"/>
        <v>833.16000000000008</v>
      </c>
      <c r="F565" s="94">
        <f t="shared" si="60"/>
        <v>561.80000000000007</v>
      </c>
      <c r="G565" s="94">
        <f t="shared" si="60"/>
        <v>411.81</v>
      </c>
      <c r="H565" s="95">
        <f t="shared" si="60"/>
        <v>299.45</v>
      </c>
    </row>
    <row r="566" spans="1:8" hidden="1" x14ac:dyDescent="0.2">
      <c r="A566" s="91">
        <v>25</v>
      </c>
      <c r="B566" s="93"/>
      <c r="C566" s="114">
        <f t="shared" ref="C566:H566" si="61">+C494*$L$2</f>
        <v>2425.81</v>
      </c>
      <c r="D566" s="94">
        <f t="shared" si="61"/>
        <v>1066.8900000000001</v>
      </c>
      <c r="E566" s="94">
        <f t="shared" si="61"/>
        <v>851.71</v>
      </c>
      <c r="F566" s="94">
        <f t="shared" si="61"/>
        <v>570.81000000000006</v>
      </c>
      <c r="G566" s="94">
        <f t="shared" si="61"/>
        <v>421.35</v>
      </c>
      <c r="H566" s="95">
        <f t="shared" si="61"/>
        <v>299.45</v>
      </c>
    </row>
    <row r="567" spans="1:8" hidden="1" x14ac:dyDescent="0.2">
      <c r="A567" s="91">
        <v>26</v>
      </c>
      <c r="B567" s="93"/>
      <c r="C567" s="114">
        <f t="shared" ref="C567:H567" si="62">+C495*$L$2</f>
        <v>2558.31</v>
      </c>
      <c r="D567" s="94">
        <f t="shared" si="62"/>
        <v>1085.97</v>
      </c>
      <c r="E567" s="94">
        <f t="shared" si="62"/>
        <v>870.79000000000008</v>
      </c>
      <c r="F567" s="94">
        <f t="shared" si="62"/>
        <v>580.35</v>
      </c>
      <c r="G567" s="94">
        <f t="shared" si="62"/>
        <v>430.36</v>
      </c>
      <c r="H567" s="95">
        <f t="shared" si="62"/>
        <v>308.99</v>
      </c>
    </row>
    <row r="568" spans="1:8" hidden="1" x14ac:dyDescent="0.2">
      <c r="A568" s="91">
        <v>27</v>
      </c>
      <c r="B568" s="93"/>
      <c r="C568" s="114">
        <f t="shared" ref="C568:H568" si="63">+C496*$L$2</f>
        <v>2879.4900000000002</v>
      </c>
      <c r="D568" s="94">
        <f t="shared" si="63"/>
        <v>1094.98</v>
      </c>
      <c r="E568" s="94">
        <f t="shared" si="63"/>
        <v>889.34</v>
      </c>
      <c r="F568" s="94">
        <f t="shared" si="63"/>
        <v>589.89</v>
      </c>
      <c r="G568" s="94">
        <f t="shared" si="63"/>
        <v>439.90000000000003</v>
      </c>
      <c r="H568" s="95">
        <f t="shared" si="63"/>
        <v>308.99</v>
      </c>
    </row>
    <row r="569" spans="1:8" hidden="1" x14ac:dyDescent="0.2">
      <c r="A569" s="91">
        <v>28</v>
      </c>
      <c r="B569" s="93"/>
      <c r="C569" s="114">
        <f t="shared" ref="C569:H569" si="64">+C497*$L$2</f>
        <v>3200.67</v>
      </c>
      <c r="D569" s="94">
        <f t="shared" si="64"/>
        <v>1123.0700000000002</v>
      </c>
      <c r="E569" s="94">
        <f t="shared" si="64"/>
        <v>907.8900000000001</v>
      </c>
      <c r="F569" s="94">
        <f t="shared" si="64"/>
        <v>598.9</v>
      </c>
      <c r="G569" s="94">
        <f t="shared" si="64"/>
        <v>449.44</v>
      </c>
      <c r="H569" s="95">
        <f t="shared" si="64"/>
        <v>318</v>
      </c>
    </row>
    <row r="570" spans="1:8" hidden="1" x14ac:dyDescent="0.2">
      <c r="A570" s="91">
        <v>29</v>
      </c>
      <c r="B570" s="93"/>
      <c r="C570" s="114">
        <f t="shared" ref="C570:H570" si="65">+C498*$L$2</f>
        <v>3521.8500000000004</v>
      </c>
      <c r="D570" s="94">
        <f t="shared" si="65"/>
        <v>1142.1500000000001</v>
      </c>
      <c r="E570" s="94">
        <f t="shared" si="65"/>
        <v>926.97</v>
      </c>
      <c r="F570" s="94">
        <f t="shared" si="65"/>
        <v>617.98</v>
      </c>
      <c r="G570" s="94">
        <f t="shared" si="65"/>
        <v>458.45000000000005</v>
      </c>
      <c r="H570" s="95">
        <f t="shared" si="65"/>
        <v>327.54000000000002</v>
      </c>
    </row>
    <row r="571" spans="1:8" hidden="1" x14ac:dyDescent="0.2">
      <c r="A571" s="91">
        <v>30</v>
      </c>
      <c r="B571" s="93"/>
      <c r="C571" s="114">
        <f t="shared" ref="C571:H571" si="66">+C499*$L$2</f>
        <v>3842.5</v>
      </c>
      <c r="D571" s="94">
        <f t="shared" si="66"/>
        <v>1170.24</v>
      </c>
      <c r="E571" s="94">
        <f t="shared" si="66"/>
        <v>954.53000000000009</v>
      </c>
      <c r="F571" s="94">
        <f t="shared" si="66"/>
        <v>636.53000000000009</v>
      </c>
      <c r="G571" s="94">
        <f t="shared" si="66"/>
        <v>467.99</v>
      </c>
      <c r="H571" s="95">
        <f t="shared" si="66"/>
        <v>337.08000000000004</v>
      </c>
    </row>
    <row r="572" spans="1:8" hidden="1" x14ac:dyDescent="0.2">
      <c r="A572" s="91">
        <v>31</v>
      </c>
      <c r="B572" s="93"/>
      <c r="C572" s="114">
        <f t="shared" ref="C572:H572" si="67">+C500*$L$2</f>
        <v>3858.4</v>
      </c>
      <c r="D572" s="94">
        <f t="shared" si="67"/>
        <v>1188.79</v>
      </c>
      <c r="E572" s="94">
        <f t="shared" si="67"/>
        <v>973.61</v>
      </c>
      <c r="F572" s="94">
        <f t="shared" si="67"/>
        <v>646.07000000000005</v>
      </c>
      <c r="G572" s="94">
        <f t="shared" si="67"/>
        <v>477.53000000000003</v>
      </c>
      <c r="H572" s="95">
        <f t="shared" si="67"/>
        <v>337.08000000000004</v>
      </c>
    </row>
    <row r="573" spans="1:8" hidden="1" x14ac:dyDescent="0.2">
      <c r="A573" s="91">
        <v>32</v>
      </c>
      <c r="B573" s="93"/>
      <c r="C573" s="114">
        <f t="shared" ref="C573:H573" si="68">+C501*$L$2</f>
        <v>3872.71</v>
      </c>
      <c r="D573" s="94">
        <f t="shared" si="68"/>
        <v>1216.8800000000001</v>
      </c>
      <c r="E573" s="94">
        <f t="shared" si="68"/>
        <v>1001.7</v>
      </c>
      <c r="F573" s="94">
        <f t="shared" si="68"/>
        <v>664.62</v>
      </c>
      <c r="G573" s="94">
        <f t="shared" si="68"/>
        <v>486.54</v>
      </c>
      <c r="H573" s="95">
        <f t="shared" si="68"/>
        <v>346.09000000000003</v>
      </c>
    </row>
    <row r="574" spans="1:8" hidden="1" x14ac:dyDescent="0.2">
      <c r="A574" s="91">
        <v>33</v>
      </c>
      <c r="B574" s="93"/>
      <c r="C574" s="114">
        <f t="shared" ref="C574:H574" si="69">+C502*$L$2</f>
        <v>4304.66</v>
      </c>
      <c r="D574" s="94">
        <f t="shared" si="69"/>
        <v>1244.97</v>
      </c>
      <c r="E574" s="94">
        <f t="shared" si="69"/>
        <v>1029.79</v>
      </c>
      <c r="F574" s="94">
        <f t="shared" si="69"/>
        <v>683.17000000000007</v>
      </c>
      <c r="G574" s="94">
        <f t="shared" si="69"/>
        <v>496.08000000000004</v>
      </c>
      <c r="H574" s="95">
        <f t="shared" si="69"/>
        <v>355.63</v>
      </c>
    </row>
    <row r="575" spans="1:8" hidden="1" x14ac:dyDescent="0.2">
      <c r="A575" s="91">
        <v>34</v>
      </c>
      <c r="B575" s="93"/>
      <c r="C575" s="114">
        <f t="shared" ref="C575:H575" si="70">+C503*$L$2</f>
        <v>4736.6100000000006</v>
      </c>
      <c r="D575" s="94">
        <f t="shared" si="70"/>
        <v>1273.0600000000002</v>
      </c>
      <c r="E575" s="94">
        <f t="shared" si="70"/>
        <v>1057.8800000000001</v>
      </c>
      <c r="F575" s="94">
        <f t="shared" si="70"/>
        <v>702.25</v>
      </c>
      <c r="G575" s="94">
        <f t="shared" si="70"/>
        <v>514.63</v>
      </c>
      <c r="H575" s="95">
        <f t="shared" si="70"/>
        <v>365.17</v>
      </c>
    </row>
    <row r="576" spans="1:8" hidden="1" x14ac:dyDescent="0.2">
      <c r="A576" s="91">
        <v>35</v>
      </c>
      <c r="B576" s="93"/>
      <c r="C576" s="114">
        <f t="shared" ref="C576:H576" si="71">+C504*$L$2</f>
        <v>4951.79</v>
      </c>
      <c r="D576" s="94">
        <f t="shared" si="71"/>
        <v>1310.69</v>
      </c>
      <c r="E576" s="94">
        <f t="shared" si="71"/>
        <v>1085.97</v>
      </c>
      <c r="F576" s="94">
        <f t="shared" si="71"/>
        <v>720.80000000000007</v>
      </c>
      <c r="G576" s="94">
        <f t="shared" si="71"/>
        <v>524.17000000000007</v>
      </c>
      <c r="H576" s="95">
        <f t="shared" si="71"/>
        <v>374.18</v>
      </c>
    </row>
    <row r="577" spans="1:8" hidden="1" x14ac:dyDescent="0.2">
      <c r="A577" s="91">
        <v>36</v>
      </c>
      <c r="B577" s="93"/>
      <c r="C577" s="114">
        <f t="shared" ref="C577:H577" si="72">+C505*$L$2</f>
        <v>4986.7700000000004</v>
      </c>
      <c r="D577" s="94">
        <f t="shared" si="72"/>
        <v>1338.78</v>
      </c>
      <c r="E577" s="94">
        <f t="shared" si="72"/>
        <v>1114.06</v>
      </c>
      <c r="F577" s="94">
        <f t="shared" si="72"/>
        <v>739.35</v>
      </c>
      <c r="G577" s="94">
        <f t="shared" si="72"/>
        <v>542.72</v>
      </c>
      <c r="H577" s="95">
        <f t="shared" si="72"/>
        <v>383.72</v>
      </c>
    </row>
    <row r="578" spans="1:8" hidden="1" x14ac:dyDescent="0.2">
      <c r="A578" s="91">
        <v>37</v>
      </c>
      <c r="B578" s="93"/>
      <c r="C578" s="114">
        <f t="shared" ref="C578:H578" si="73">+C506*$L$2</f>
        <v>5611.64</v>
      </c>
      <c r="D578" s="94">
        <f t="shared" si="73"/>
        <v>1366.8700000000001</v>
      </c>
      <c r="E578" s="94">
        <f t="shared" si="73"/>
        <v>1142.1500000000001</v>
      </c>
      <c r="F578" s="94">
        <f t="shared" si="73"/>
        <v>758.43000000000006</v>
      </c>
      <c r="G578" s="94">
        <f t="shared" si="73"/>
        <v>552.26</v>
      </c>
      <c r="H578" s="95">
        <f t="shared" si="73"/>
        <v>393.26000000000005</v>
      </c>
    </row>
    <row r="579" spans="1:8" hidden="1" x14ac:dyDescent="0.2">
      <c r="A579" s="91">
        <v>38</v>
      </c>
      <c r="B579" s="93"/>
      <c r="C579" s="114">
        <f t="shared" ref="C579:H579" si="74">+C507*$L$2</f>
        <v>6236.51</v>
      </c>
      <c r="D579" s="94">
        <f t="shared" si="74"/>
        <v>1403.97</v>
      </c>
      <c r="E579" s="94">
        <f t="shared" si="74"/>
        <v>1179.25</v>
      </c>
      <c r="F579" s="94">
        <f t="shared" si="74"/>
        <v>786.5200000000001</v>
      </c>
      <c r="G579" s="94">
        <f t="shared" si="74"/>
        <v>570.81000000000006</v>
      </c>
      <c r="H579" s="95">
        <f t="shared" si="74"/>
        <v>402.27000000000004</v>
      </c>
    </row>
    <row r="580" spans="1:8" hidden="1" x14ac:dyDescent="0.2">
      <c r="A580" s="91">
        <v>39</v>
      </c>
      <c r="B580" s="93"/>
      <c r="C580" s="114">
        <f t="shared" ref="C580:H580" si="75">+C508*$L$2</f>
        <v>6861.38</v>
      </c>
      <c r="D580" s="94">
        <f t="shared" si="75"/>
        <v>1441.6000000000001</v>
      </c>
      <c r="E580" s="94">
        <f t="shared" si="75"/>
        <v>1216.8800000000001</v>
      </c>
      <c r="F580" s="94">
        <f t="shared" si="75"/>
        <v>814.61</v>
      </c>
      <c r="G580" s="94">
        <f t="shared" si="75"/>
        <v>589.89</v>
      </c>
      <c r="H580" s="95">
        <f t="shared" si="75"/>
        <v>411.81</v>
      </c>
    </row>
    <row r="581" spans="1:8" hidden="1" x14ac:dyDescent="0.2">
      <c r="A581" s="91">
        <v>40</v>
      </c>
      <c r="B581" s="93"/>
      <c r="C581" s="114">
        <f t="shared" ref="C581:H581" si="76">+C509*$L$2</f>
        <v>7485.72</v>
      </c>
      <c r="D581" s="94">
        <f t="shared" si="76"/>
        <v>1488.24</v>
      </c>
      <c r="E581" s="94">
        <f t="shared" si="76"/>
        <v>1244.97</v>
      </c>
      <c r="F581" s="94">
        <f t="shared" si="76"/>
        <v>833.16000000000008</v>
      </c>
      <c r="G581" s="94">
        <f t="shared" si="76"/>
        <v>598.9</v>
      </c>
      <c r="H581" s="95">
        <f t="shared" si="76"/>
        <v>421.35</v>
      </c>
    </row>
    <row r="582" spans="1:8" hidden="1" x14ac:dyDescent="0.2">
      <c r="A582" s="91">
        <v>41</v>
      </c>
      <c r="B582" s="93"/>
      <c r="C582" s="114">
        <f t="shared" ref="C582:H582" si="77">+C510*$L$2</f>
        <v>8177.9000000000005</v>
      </c>
      <c r="D582" s="94">
        <f t="shared" si="77"/>
        <v>1525.8700000000001</v>
      </c>
      <c r="E582" s="94">
        <f t="shared" si="77"/>
        <v>1282.6000000000001</v>
      </c>
      <c r="F582" s="94">
        <f t="shared" si="77"/>
        <v>861.25</v>
      </c>
      <c r="G582" s="94">
        <f t="shared" si="77"/>
        <v>617.98</v>
      </c>
      <c r="H582" s="95">
        <f t="shared" si="77"/>
        <v>430.36</v>
      </c>
    </row>
    <row r="583" spans="1:8" hidden="1" x14ac:dyDescent="0.2">
      <c r="A583" s="91">
        <v>42</v>
      </c>
      <c r="B583" s="93"/>
      <c r="C583" s="114"/>
      <c r="D583" s="94">
        <f t="shared" ref="D583:H583" si="78">+D511*$L$2</f>
        <v>1563.5</v>
      </c>
      <c r="E583" s="94">
        <f t="shared" si="78"/>
        <v>1319.7</v>
      </c>
      <c r="F583" s="94">
        <f t="shared" si="78"/>
        <v>889.34</v>
      </c>
      <c r="G583" s="94">
        <f t="shared" si="78"/>
        <v>636.53000000000009</v>
      </c>
      <c r="H583" s="95">
        <f t="shared" si="78"/>
        <v>439.90000000000003</v>
      </c>
    </row>
    <row r="584" spans="1:8" hidden="1" x14ac:dyDescent="0.2">
      <c r="A584" s="91">
        <v>43</v>
      </c>
      <c r="B584" s="93"/>
      <c r="C584" s="114"/>
      <c r="D584" s="94">
        <f t="shared" ref="D584:H584" si="79">+D512*$L$2</f>
        <v>1610.14</v>
      </c>
      <c r="E584" s="94">
        <f t="shared" si="79"/>
        <v>1366.8700000000001</v>
      </c>
      <c r="F584" s="94">
        <f t="shared" si="79"/>
        <v>917.43000000000006</v>
      </c>
      <c r="G584" s="94">
        <f t="shared" si="79"/>
        <v>655.08000000000004</v>
      </c>
      <c r="H584" s="95">
        <f t="shared" si="79"/>
        <v>458.45000000000005</v>
      </c>
    </row>
    <row r="585" spans="1:8" hidden="1" x14ac:dyDescent="0.2">
      <c r="A585" s="91">
        <v>44</v>
      </c>
      <c r="B585" s="93"/>
      <c r="C585" s="114"/>
      <c r="D585" s="94">
        <f t="shared" ref="D585:H585" si="80">+D513*$L$2</f>
        <v>1656.78</v>
      </c>
      <c r="E585" s="94">
        <f t="shared" si="80"/>
        <v>1403.97</v>
      </c>
      <c r="F585" s="94">
        <f t="shared" si="80"/>
        <v>954.53000000000009</v>
      </c>
      <c r="G585" s="94">
        <f t="shared" si="80"/>
        <v>674.16000000000008</v>
      </c>
      <c r="H585" s="95">
        <f t="shared" si="80"/>
        <v>467.99</v>
      </c>
    </row>
    <row r="586" spans="1:8" hidden="1" x14ac:dyDescent="0.2">
      <c r="A586" s="91">
        <v>45</v>
      </c>
      <c r="B586" s="93"/>
      <c r="C586" s="114"/>
      <c r="D586" s="94">
        <f t="shared" ref="D586:H586" si="81">+D514*$L$2</f>
        <v>1703.42</v>
      </c>
      <c r="E586" s="94">
        <f t="shared" si="81"/>
        <v>1451.14</v>
      </c>
      <c r="F586" s="94">
        <f t="shared" si="81"/>
        <v>982.62</v>
      </c>
      <c r="G586" s="94">
        <f t="shared" si="81"/>
        <v>692.71</v>
      </c>
      <c r="H586" s="95">
        <f t="shared" si="81"/>
        <v>486.54</v>
      </c>
    </row>
    <row r="587" spans="1:8" hidden="1" x14ac:dyDescent="0.2">
      <c r="A587" s="91">
        <v>46</v>
      </c>
      <c r="B587" s="93"/>
      <c r="C587" s="114"/>
      <c r="D587" s="94">
        <f t="shared" ref="D587:H587" si="82">+D515*$L$2</f>
        <v>1750.5900000000001</v>
      </c>
      <c r="E587" s="94">
        <f t="shared" si="82"/>
        <v>1497.78</v>
      </c>
      <c r="F587" s="94">
        <f t="shared" si="82"/>
        <v>1010.71</v>
      </c>
      <c r="G587" s="94">
        <f t="shared" si="82"/>
        <v>711.26</v>
      </c>
      <c r="H587" s="95">
        <f t="shared" si="82"/>
        <v>496.08000000000004</v>
      </c>
    </row>
    <row r="588" spans="1:8" hidden="1" x14ac:dyDescent="0.2">
      <c r="A588" s="91">
        <v>47</v>
      </c>
      <c r="B588" s="93"/>
      <c r="C588" s="114"/>
      <c r="D588" s="94">
        <f t="shared" ref="D588:H588" si="83">+D516*$L$2</f>
        <v>1797.23</v>
      </c>
      <c r="E588" s="94">
        <f t="shared" si="83"/>
        <v>1535.41</v>
      </c>
      <c r="F588" s="94">
        <f t="shared" si="83"/>
        <v>1048.3400000000001</v>
      </c>
      <c r="G588" s="94">
        <f t="shared" si="83"/>
        <v>730.34</v>
      </c>
      <c r="H588" s="95">
        <f t="shared" si="83"/>
        <v>505.62</v>
      </c>
    </row>
    <row r="589" spans="1:8" hidden="1" x14ac:dyDescent="0.2">
      <c r="A589" s="91">
        <v>48</v>
      </c>
      <c r="B589" s="93"/>
      <c r="C589" s="114"/>
      <c r="D589" s="94">
        <f t="shared" ref="D589:H589" si="84">+D517*$L$2</f>
        <v>1871.96</v>
      </c>
      <c r="E589" s="94">
        <f t="shared" si="84"/>
        <v>1600.6000000000001</v>
      </c>
      <c r="F589" s="94">
        <f t="shared" si="84"/>
        <v>1094.98</v>
      </c>
      <c r="G589" s="94">
        <f t="shared" si="84"/>
        <v>758.43000000000006</v>
      </c>
      <c r="H589" s="95">
        <f t="shared" si="84"/>
        <v>524.17000000000007</v>
      </c>
    </row>
    <row r="590" spans="1:8" hidden="1" x14ac:dyDescent="0.2">
      <c r="A590" s="91">
        <v>49</v>
      </c>
      <c r="B590" s="93"/>
      <c r="C590" s="114"/>
      <c r="D590" s="94">
        <f t="shared" ref="D590:H590" si="85">+D518*$L$2</f>
        <v>1937.68</v>
      </c>
      <c r="E590" s="94">
        <f t="shared" si="85"/>
        <v>1656.78</v>
      </c>
      <c r="F590" s="94">
        <f t="shared" si="85"/>
        <v>1132.6100000000001</v>
      </c>
      <c r="G590" s="94">
        <f t="shared" si="85"/>
        <v>786.5200000000001</v>
      </c>
      <c r="H590" s="95">
        <f t="shared" si="85"/>
        <v>542.72</v>
      </c>
    </row>
    <row r="591" spans="1:8" hidden="1" x14ac:dyDescent="0.2">
      <c r="A591" s="91">
        <v>50</v>
      </c>
      <c r="B591" s="93"/>
      <c r="C591" s="114"/>
      <c r="D591" s="94">
        <f t="shared" ref="D591:H591" si="86">+D519*$L$2</f>
        <v>2003.4</v>
      </c>
      <c r="E591" s="94">
        <f t="shared" si="86"/>
        <v>1712.96</v>
      </c>
      <c r="F591" s="94">
        <f t="shared" si="86"/>
        <v>1179.25</v>
      </c>
      <c r="G591" s="94">
        <f t="shared" si="86"/>
        <v>814.61</v>
      </c>
      <c r="H591" s="95">
        <f t="shared" si="86"/>
        <v>552.26</v>
      </c>
    </row>
    <row r="592" spans="1:8" hidden="1" x14ac:dyDescent="0.2">
      <c r="A592" s="91">
        <v>51</v>
      </c>
      <c r="B592" s="93"/>
      <c r="C592" s="114"/>
      <c r="D592" s="94">
        <f t="shared" ref="D592:H592" si="87">+D520*$L$2</f>
        <v>2068.59</v>
      </c>
      <c r="E592" s="94">
        <f t="shared" si="87"/>
        <v>1778.68</v>
      </c>
      <c r="F592" s="94">
        <f t="shared" si="87"/>
        <v>1226.42</v>
      </c>
      <c r="G592" s="94">
        <f t="shared" si="87"/>
        <v>842.7</v>
      </c>
      <c r="H592" s="95">
        <f t="shared" si="87"/>
        <v>570.81000000000006</v>
      </c>
    </row>
    <row r="593" spans="1:8" hidden="1" x14ac:dyDescent="0.2">
      <c r="A593" s="91">
        <v>52</v>
      </c>
      <c r="B593" s="93"/>
      <c r="C593" s="114"/>
      <c r="D593" s="94">
        <f t="shared" ref="D593:H593" si="88">+D521*$L$2</f>
        <v>2134.31</v>
      </c>
      <c r="E593" s="94">
        <f t="shared" si="88"/>
        <v>1834.8600000000001</v>
      </c>
      <c r="F593" s="94">
        <f t="shared" si="88"/>
        <v>1263.52</v>
      </c>
      <c r="G593" s="94">
        <f t="shared" si="88"/>
        <v>870.79000000000008</v>
      </c>
      <c r="H593" s="95">
        <f t="shared" si="88"/>
        <v>589.89</v>
      </c>
    </row>
    <row r="594" spans="1:8" hidden="1" x14ac:dyDescent="0.2">
      <c r="A594" s="91">
        <v>53</v>
      </c>
      <c r="B594" s="93"/>
      <c r="C594" s="114"/>
      <c r="D594" s="94">
        <f t="shared" ref="D594:H594" si="89">+D522*$L$2</f>
        <v>2218.58</v>
      </c>
      <c r="E594" s="94">
        <f t="shared" si="89"/>
        <v>1909.5900000000001</v>
      </c>
      <c r="F594" s="94">
        <f t="shared" si="89"/>
        <v>1319.7</v>
      </c>
      <c r="G594" s="94">
        <f t="shared" si="89"/>
        <v>898.88</v>
      </c>
      <c r="H594" s="95">
        <f t="shared" si="89"/>
        <v>608.44000000000005</v>
      </c>
    </row>
    <row r="595" spans="1:8" hidden="1" x14ac:dyDescent="0.2">
      <c r="A595" s="91">
        <v>54</v>
      </c>
      <c r="B595" s="93"/>
      <c r="C595" s="114"/>
      <c r="D595" s="94">
        <f t="shared" ref="D595:H595" si="90">+D523*$L$2</f>
        <v>2302.85</v>
      </c>
      <c r="E595" s="94">
        <f t="shared" si="90"/>
        <v>1984.3200000000002</v>
      </c>
      <c r="F595" s="94">
        <f t="shared" si="90"/>
        <v>1375.88</v>
      </c>
      <c r="G595" s="94">
        <f t="shared" si="90"/>
        <v>935.98</v>
      </c>
      <c r="H595" s="95">
        <f t="shared" si="90"/>
        <v>617.98</v>
      </c>
    </row>
    <row r="596" spans="1:8" hidden="1" x14ac:dyDescent="0.2">
      <c r="A596" s="91">
        <v>55</v>
      </c>
      <c r="B596" s="93"/>
      <c r="C596" s="114"/>
      <c r="D596" s="94">
        <f t="shared" ref="D596:H596" si="91">+D524*$L$2</f>
        <v>2387.1200000000003</v>
      </c>
      <c r="E596" s="94">
        <f t="shared" si="91"/>
        <v>2059.58</v>
      </c>
      <c r="F596" s="94">
        <f t="shared" si="91"/>
        <v>1432.0600000000002</v>
      </c>
      <c r="G596" s="94">
        <f t="shared" si="91"/>
        <v>964.07</v>
      </c>
      <c r="H596" s="95">
        <f t="shared" si="91"/>
        <v>636.53000000000009</v>
      </c>
    </row>
    <row r="597" spans="1:8" hidden="1" x14ac:dyDescent="0.2">
      <c r="A597" s="91">
        <v>56</v>
      </c>
      <c r="B597" s="93"/>
      <c r="C597" s="114"/>
      <c r="D597" s="94">
        <f t="shared" ref="D597:H597" si="92">+D525*$L$2</f>
        <v>2471.3900000000003</v>
      </c>
      <c r="E597" s="94">
        <f t="shared" si="92"/>
        <v>2134.31</v>
      </c>
      <c r="F597" s="94">
        <f t="shared" si="92"/>
        <v>1488.24</v>
      </c>
      <c r="G597" s="94">
        <f t="shared" si="92"/>
        <v>1001.7</v>
      </c>
      <c r="H597" s="95">
        <f t="shared" si="92"/>
        <v>655.08000000000004</v>
      </c>
    </row>
    <row r="598" spans="1:8" hidden="1" x14ac:dyDescent="0.2">
      <c r="A598" s="91">
        <v>57</v>
      </c>
      <c r="B598" s="93"/>
      <c r="C598" s="114"/>
      <c r="D598" s="94">
        <f t="shared" ref="D598:H598" si="93">+D526*$L$2</f>
        <v>2555.6600000000003</v>
      </c>
      <c r="E598" s="94">
        <f t="shared" si="93"/>
        <v>2209.04</v>
      </c>
      <c r="F598" s="94">
        <f t="shared" si="93"/>
        <v>1544.42</v>
      </c>
      <c r="G598" s="94">
        <f t="shared" si="93"/>
        <v>1038.8</v>
      </c>
      <c r="H598" s="95">
        <f t="shared" si="93"/>
        <v>674.16000000000008</v>
      </c>
    </row>
    <row r="599" spans="1:8" hidden="1" x14ac:dyDescent="0.2">
      <c r="A599" s="91">
        <v>58</v>
      </c>
      <c r="B599" s="93"/>
      <c r="C599" s="114"/>
      <c r="D599" s="94">
        <f t="shared" ref="D599:H599" si="94">+D527*$L$2</f>
        <v>2668.02</v>
      </c>
      <c r="E599" s="94">
        <f t="shared" si="94"/>
        <v>2302.85</v>
      </c>
      <c r="F599" s="94">
        <f t="shared" si="94"/>
        <v>1628.69</v>
      </c>
      <c r="G599" s="94">
        <f t="shared" si="94"/>
        <v>1076.43</v>
      </c>
      <c r="H599" s="95">
        <f t="shared" si="94"/>
        <v>692.71</v>
      </c>
    </row>
    <row r="600" spans="1:8" hidden="1" x14ac:dyDescent="0.2">
      <c r="A600" s="91">
        <v>59</v>
      </c>
      <c r="B600" s="93"/>
      <c r="C600" s="114"/>
      <c r="D600" s="94">
        <f t="shared" ref="D600:H600" si="95">+D528*$L$2</f>
        <v>2770.84</v>
      </c>
      <c r="E600" s="94">
        <f t="shared" si="95"/>
        <v>2396.13</v>
      </c>
      <c r="F600" s="94">
        <f t="shared" si="95"/>
        <v>1703.42</v>
      </c>
      <c r="G600" s="94">
        <f t="shared" si="95"/>
        <v>1123.0700000000002</v>
      </c>
      <c r="H600" s="95">
        <f t="shared" si="95"/>
        <v>711.26</v>
      </c>
    </row>
    <row r="601" spans="1:8" hidden="1" x14ac:dyDescent="0.2">
      <c r="A601" s="91">
        <v>60</v>
      </c>
      <c r="B601" s="93"/>
      <c r="C601" s="114"/>
      <c r="D601" s="94">
        <f t="shared" ref="D601:H601" si="96">+D529*$L$2</f>
        <v>2883.2000000000003</v>
      </c>
      <c r="E601" s="94">
        <f t="shared" si="96"/>
        <v>2499.48</v>
      </c>
      <c r="F601" s="94">
        <f t="shared" si="96"/>
        <v>1778.68</v>
      </c>
      <c r="G601" s="94">
        <f t="shared" si="96"/>
        <v>1170.24</v>
      </c>
      <c r="H601" s="95">
        <f t="shared" si="96"/>
        <v>739.35</v>
      </c>
    </row>
    <row r="602" spans="1:8" hidden="1" x14ac:dyDescent="0.2">
      <c r="A602" s="91">
        <v>61</v>
      </c>
      <c r="B602" s="93"/>
      <c r="C602" s="114"/>
      <c r="D602" s="94">
        <f t="shared" ref="D602:H602" si="97">+D530*$L$2</f>
        <v>3042.2000000000003</v>
      </c>
      <c r="E602" s="94">
        <f t="shared" si="97"/>
        <v>2630.3900000000003</v>
      </c>
      <c r="F602" s="94">
        <f t="shared" si="97"/>
        <v>1881.5</v>
      </c>
      <c r="G602" s="94">
        <f t="shared" si="97"/>
        <v>1226.42</v>
      </c>
      <c r="H602" s="95">
        <f t="shared" si="97"/>
        <v>758.43000000000006</v>
      </c>
    </row>
    <row r="603" spans="1:8" hidden="1" x14ac:dyDescent="0.2">
      <c r="A603" s="91">
        <v>62</v>
      </c>
      <c r="B603" s="93"/>
      <c r="C603" s="114"/>
      <c r="D603" s="94">
        <f t="shared" ref="D603:H603" si="98">+D531*$L$2</f>
        <v>3248.3700000000003</v>
      </c>
      <c r="E603" s="94">
        <f t="shared" si="98"/>
        <v>2817.48</v>
      </c>
      <c r="F603" s="94">
        <f t="shared" si="98"/>
        <v>2021.95</v>
      </c>
      <c r="G603" s="94">
        <f t="shared" si="98"/>
        <v>1310.69</v>
      </c>
      <c r="H603" s="95">
        <f t="shared" si="98"/>
        <v>795.53000000000009</v>
      </c>
    </row>
    <row r="604" spans="1:8" hidden="1" x14ac:dyDescent="0.2">
      <c r="A604" s="91">
        <v>63</v>
      </c>
      <c r="B604" s="93"/>
      <c r="C604" s="114"/>
      <c r="D604" s="94">
        <f t="shared" ref="D604:H604" si="99">+D532*$L$2</f>
        <v>3556.8300000000004</v>
      </c>
      <c r="E604" s="94">
        <f t="shared" si="99"/>
        <v>3079.8300000000004</v>
      </c>
      <c r="F604" s="94">
        <f t="shared" si="99"/>
        <v>2218.58</v>
      </c>
      <c r="G604" s="94">
        <f t="shared" si="99"/>
        <v>1432.0600000000002</v>
      </c>
      <c r="H604" s="95">
        <f t="shared" si="99"/>
        <v>833.16000000000008</v>
      </c>
    </row>
    <row r="605" spans="1:8" hidden="1" x14ac:dyDescent="0.2">
      <c r="A605" s="91">
        <v>64</v>
      </c>
      <c r="B605" s="93"/>
      <c r="C605" s="114"/>
      <c r="D605" s="94">
        <f t="shared" ref="D605:H605" si="100">+D533*$L$2</f>
        <v>3978.1800000000003</v>
      </c>
      <c r="E605" s="94">
        <f t="shared" si="100"/>
        <v>3445</v>
      </c>
      <c r="F605" s="94">
        <f t="shared" si="100"/>
        <v>2489.94</v>
      </c>
      <c r="G605" s="94">
        <f t="shared" si="100"/>
        <v>1600.6000000000001</v>
      </c>
      <c r="H605" s="95">
        <f t="shared" si="100"/>
        <v>889.34</v>
      </c>
    </row>
    <row r="606" spans="1:8" hidden="1" x14ac:dyDescent="0.2">
      <c r="A606" s="91">
        <v>65</v>
      </c>
      <c r="B606" s="93"/>
      <c r="C606" s="114"/>
      <c r="D606" s="94">
        <f t="shared" ref="D606:H606" si="101">+D534*$L$2</f>
        <v>4521.43</v>
      </c>
      <c r="E606" s="94">
        <f t="shared" si="101"/>
        <v>3912.9900000000002</v>
      </c>
      <c r="F606" s="94">
        <f t="shared" si="101"/>
        <v>2836.56</v>
      </c>
      <c r="G606" s="94">
        <f t="shared" si="101"/>
        <v>1815.7800000000002</v>
      </c>
      <c r="H606" s="95">
        <f t="shared" si="101"/>
        <v>973.61</v>
      </c>
    </row>
    <row r="607" spans="1:8" hidden="1" x14ac:dyDescent="0.2">
      <c r="A607" s="91">
        <v>66</v>
      </c>
      <c r="B607" s="93"/>
      <c r="C607" s="114"/>
      <c r="D607" s="94">
        <f t="shared" ref="D607:H607" si="102">+D535*$L$2</f>
        <v>5186.05</v>
      </c>
      <c r="E607" s="94">
        <f t="shared" si="102"/>
        <v>4502.3500000000004</v>
      </c>
      <c r="F607" s="94">
        <f t="shared" si="102"/>
        <v>3257.38</v>
      </c>
      <c r="G607" s="94">
        <f t="shared" si="102"/>
        <v>2068.59</v>
      </c>
      <c r="H607" s="95">
        <f t="shared" si="102"/>
        <v>1076.43</v>
      </c>
    </row>
    <row r="608" spans="1:8" hidden="1" x14ac:dyDescent="0.2">
      <c r="A608" s="91">
        <v>67</v>
      </c>
      <c r="B608" s="93"/>
      <c r="C608" s="114"/>
      <c r="D608" s="94">
        <f t="shared" ref="D608:H608" si="103">+D536*$L$2</f>
        <v>5934.9400000000005</v>
      </c>
      <c r="E608" s="94">
        <f t="shared" si="103"/>
        <v>5166.97</v>
      </c>
      <c r="F608" s="94">
        <f t="shared" si="103"/>
        <v>3744.4500000000003</v>
      </c>
      <c r="G608" s="94">
        <f t="shared" si="103"/>
        <v>2359.0300000000002</v>
      </c>
      <c r="H608" s="95">
        <f t="shared" si="103"/>
        <v>1216.8800000000001</v>
      </c>
    </row>
    <row r="609" spans="1:8" hidden="1" x14ac:dyDescent="0.2">
      <c r="A609" s="91">
        <v>68</v>
      </c>
      <c r="B609" s="93"/>
      <c r="C609" s="114"/>
      <c r="D609" s="94">
        <f t="shared" ref="D609:H609" si="104">+D537*$L$2</f>
        <v>6739.4800000000005</v>
      </c>
      <c r="E609" s="94">
        <f t="shared" si="104"/>
        <v>5887.77</v>
      </c>
      <c r="F609" s="94">
        <f t="shared" si="104"/>
        <v>4259.08</v>
      </c>
      <c r="G609" s="94">
        <f t="shared" si="104"/>
        <v>2677.03</v>
      </c>
      <c r="H609" s="95">
        <f t="shared" si="104"/>
        <v>1366.8700000000001</v>
      </c>
    </row>
    <row r="610" spans="1:8" hidden="1" x14ac:dyDescent="0.2">
      <c r="A610" s="91">
        <v>69</v>
      </c>
      <c r="B610" s="93"/>
      <c r="C610" s="114"/>
      <c r="D610" s="94">
        <f t="shared" ref="D610:H610" si="105">+D538*$L$2</f>
        <v>7582.18</v>
      </c>
      <c r="E610" s="94">
        <f t="shared" si="105"/>
        <v>6646.2000000000007</v>
      </c>
      <c r="F610" s="94">
        <f t="shared" si="105"/>
        <v>4801.8</v>
      </c>
      <c r="G610" s="94">
        <f t="shared" si="105"/>
        <v>3014.11</v>
      </c>
      <c r="H610" s="95">
        <f t="shared" si="105"/>
        <v>1535.41</v>
      </c>
    </row>
    <row r="611" spans="1:8" hidden="1" x14ac:dyDescent="0.2">
      <c r="A611" s="91">
        <v>70</v>
      </c>
      <c r="B611" s="93"/>
      <c r="C611" s="114"/>
      <c r="D611" s="94">
        <f t="shared" ref="D611:H611" si="106">+D539*$L$2</f>
        <v>8452.9700000000012</v>
      </c>
      <c r="E611" s="94">
        <f t="shared" si="106"/>
        <v>7423.18</v>
      </c>
      <c r="F611" s="94">
        <f t="shared" si="106"/>
        <v>5382.68</v>
      </c>
      <c r="G611" s="94">
        <f t="shared" si="106"/>
        <v>3388.82</v>
      </c>
      <c r="H611" s="95">
        <f t="shared" si="106"/>
        <v>1712.96</v>
      </c>
    </row>
    <row r="612" spans="1:8" hidden="1" x14ac:dyDescent="0.2">
      <c r="A612" s="91">
        <v>71</v>
      </c>
      <c r="B612" s="93"/>
      <c r="C612" s="114"/>
      <c r="D612" s="94">
        <f t="shared" ref="D612:H612" si="107">+D540*$L$2</f>
        <v>9351.32</v>
      </c>
      <c r="E612" s="94">
        <f t="shared" si="107"/>
        <v>8237.26</v>
      </c>
      <c r="F612" s="94">
        <f t="shared" si="107"/>
        <v>5991.12</v>
      </c>
      <c r="G612" s="94">
        <f t="shared" si="107"/>
        <v>3781.55</v>
      </c>
      <c r="H612" s="95">
        <f t="shared" si="107"/>
        <v>1900.0500000000002</v>
      </c>
    </row>
    <row r="613" spans="1:8" hidden="1" x14ac:dyDescent="0.2">
      <c r="A613" s="91">
        <v>72</v>
      </c>
      <c r="B613" s="93"/>
      <c r="C613" s="114"/>
      <c r="D613" s="94">
        <f t="shared" ref="D613:H613" si="108">+D541*$L$2</f>
        <v>10278.290000000001</v>
      </c>
      <c r="E613" s="94">
        <f t="shared" si="108"/>
        <v>9061.41</v>
      </c>
      <c r="F613" s="94">
        <f t="shared" si="108"/>
        <v>6627.6500000000005</v>
      </c>
      <c r="G613" s="94">
        <f t="shared" si="108"/>
        <v>4202.9000000000005</v>
      </c>
      <c r="H613" s="95">
        <f t="shared" si="108"/>
        <v>2096.6800000000003</v>
      </c>
    </row>
    <row r="614" spans="1:8" hidden="1" x14ac:dyDescent="0.2">
      <c r="A614" s="91">
        <v>73</v>
      </c>
      <c r="B614" s="93"/>
      <c r="C614" s="114"/>
      <c r="D614" s="94">
        <f t="shared" ref="D614:H614" si="109">+D542*$L$2</f>
        <v>11223.28</v>
      </c>
      <c r="E614" s="94">
        <f t="shared" si="109"/>
        <v>9913.1200000000008</v>
      </c>
      <c r="F614" s="94">
        <f t="shared" si="109"/>
        <v>7301.2800000000007</v>
      </c>
      <c r="G614" s="94">
        <f t="shared" si="109"/>
        <v>4652.34</v>
      </c>
      <c r="H614" s="95">
        <f t="shared" si="109"/>
        <v>2302.85</v>
      </c>
    </row>
    <row r="615" spans="1:8" hidden="1" x14ac:dyDescent="0.2">
      <c r="A615" s="91">
        <v>74</v>
      </c>
      <c r="B615" s="93"/>
      <c r="C615" s="114"/>
      <c r="D615" s="94">
        <f t="shared" ref="D615:H615" si="110">+D543*$L$2</f>
        <v>12178.34</v>
      </c>
      <c r="E615" s="94">
        <f t="shared" si="110"/>
        <v>10783.380000000001</v>
      </c>
      <c r="F615" s="94">
        <f t="shared" si="110"/>
        <v>8003.5300000000007</v>
      </c>
      <c r="G615" s="94">
        <f t="shared" si="110"/>
        <v>5129.87</v>
      </c>
      <c r="H615" s="95">
        <f t="shared" si="110"/>
        <v>2508.4900000000002</v>
      </c>
    </row>
    <row r="616" spans="1:8" hidden="1" x14ac:dyDescent="0.2">
      <c r="A616" s="91">
        <v>75</v>
      </c>
      <c r="B616" s="93"/>
      <c r="C616" s="114"/>
      <c r="D616" s="94">
        <f t="shared" ref="D616:H616" si="111">+D544*$L$2</f>
        <v>13160.960000000001</v>
      </c>
      <c r="E616" s="94">
        <f t="shared" si="111"/>
        <v>11663.710000000001</v>
      </c>
      <c r="F616" s="94">
        <f t="shared" si="111"/>
        <v>8733.34</v>
      </c>
      <c r="G616" s="94">
        <f t="shared" si="111"/>
        <v>5634.96</v>
      </c>
      <c r="H616" s="95">
        <f t="shared" si="111"/>
        <v>2724.2000000000003</v>
      </c>
    </row>
    <row r="617" spans="1:8" hidden="1" x14ac:dyDescent="0.2">
      <c r="A617" s="91">
        <v>76</v>
      </c>
      <c r="B617" s="93"/>
      <c r="C617" s="114"/>
      <c r="D617" s="94">
        <f t="shared" ref="D617:H617" si="112">+D545*$L$2</f>
        <v>14153.650000000001</v>
      </c>
      <c r="E617" s="94">
        <f t="shared" si="112"/>
        <v>12562.060000000001</v>
      </c>
      <c r="F617" s="94">
        <f t="shared" si="112"/>
        <v>9491.77</v>
      </c>
      <c r="G617" s="94">
        <f t="shared" si="112"/>
        <v>6168.67</v>
      </c>
      <c r="H617" s="95">
        <f t="shared" si="112"/>
        <v>2948.3900000000003</v>
      </c>
    </row>
    <row r="618" spans="1:8" hidden="1" x14ac:dyDescent="0.2">
      <c r="A618" s="91">
        <v>77</v>
      </c>
      <c r="B618" s="93"/>
      <c r="C618" s="114"/>
      <c r="D618" s="94">
        <f t="shared" ref="D618:H618" si="113">+D546*$L$2</f>
        <v>15164.36</v>
      </c>
      <c r="E618" s="94">
        <f t="shared" si="113"/>
        <v>13469.95</v>
      </c>
      <c r="F618" s="94">
        <f t="shared" si="113"/>
        <v>10278.290000000001</v>
      </c>
      <c r="G618" s="94">
        <f t="shared" si="113"/>
        <v>6730.47</v>
      </c>
      <c r="H618" s="95">
        <f t="shared" si="113"/>
        <v>3182.65</v>
      </c>
    </row>
    <row r="619" spans="1:8" hidden="1" x14ac:dyDescent="0.2">
      <c r="A619" s="91">
        <v>78</v>
      </c>
      <c r="B619" s="93"/>
      <c r="C619" s="114"/>
      <c r="D619" s="94">
        <f t="shared" ref="D619:H619" si="114">+D547*$L$2</f>
        <v>16184.61</v>
      </c>
      <c r="E619" s="94">
        <f t="shared" si="114"/>
        <v>14396.92</v>
      </c>
      <c r="F619" s="94">
        <f t="shared" si="114"/>
        <v>11101.91</v>
      </c>
      <c r="G619" s="94">
        <f t="shared" si="114"/>
        <v>7319.83</v>
      </c>
      <c r="H619" s="95">
        <f t="shared" si="114"/>
        <v>3416.9100000000003</v>
      </c>
    </row>
    <row r="620" spans="1:8" hidden="1" x14ac:dyDescent="0.2">
      <c r="A620" s="91">
        <v>79</v>
      </c>
      <c r="B620" s="93"/>
      <c r="C620" s="114"/>
      <c r="D620" s="94">
        <f t="shared" ref="D620:H620" si="115">+D548*$L$2</f>
        <v>17214.400000000001</v>
      </c>
      <c r="E620" s="94">
        <f t="shared" si="115"/>
        <v>15323.36</v>
      </c>
      <c r="F620" s="94">
        <f t="shared" si="115"/>
        <v>11953.62</v>
      </c>
      <c r="G620" s="94">
        <f t="shared" si="115"/>
        <v>7928.27</v>
      </c>
      <c r="H620" s="95">
        <f t="shared" si="115"/>
        <v>3669.19</v>
      </c>
    </row>
    <row r="621" spans="1:8" hidden="1" x14ac:dyDescent="0.2">
      <c r="A621" s="91">
        <v>80</v>
      </c>
      <c r="B621" s="158" t="s">
        <v>198</v>
      </c>
      <c r="C621" s="114"/>
      <c r="D621" s="94">
        <f t="shared" ref="D621:H621" si="116">+D549*$L$2</f>
        <v>18253.2</v>
      </c>
      <c r="E621" s="94">
        <f t="shared" si="116"/>
        <v>16268.880000000001</v>
      </c>
      <c r="F621" s="94">
        <f t="shared" si="116"/>
        <v>12833.42</v>
      </c>
      <c r="G621" s="94">
        <f t="shared" si="116"/>
        <v>8574.34</v>
      </c>
      <c r="H621" s="95">
        <f t="shared" si="116"/>
        <v>3912.9900000000002</v>
      </c>
    </row>
    <row r="622" spans="1:8" hidden="1" x14ac:dyDescent="0.2">
      <c r="A622" s="91">
        <v>1</v>
      </c>
      <c r="B622" s="93" t="s">
        <v>13</v>
      </c>
      <c r="C622" s="114">
        <f t="shared" ref="C622:H622" si="117">+C550*$L$2</f>
        <v>459.51000000000005</v>
      </c>
      <c r="D622" s="94">
        <f t="shared" si="117"/>
        <v>486.54</v>
      </c>
      <c r="E622" s="94">
        <f t="shared" si="117"/>
        <v>280.90000000000003</v>
      </c>
      <c r="F622" s="94">
        <f t="shared" si="117"/>
        <v>215.18</v>
      </c>
      <c r="G622" s="94">
        <f t="shared" si="117"/>
        <v>159</v>
      </c>
      <c r="H622" s="95">
        <f t="shared" si="117"/>
        <v>112.36</v>
      </c>
    </row>
    <row r="623" spans="1:8" hidden="1" x14ac:dyDescent="0.2">
      <c r="A623" s="91">
        <v>2</v>
      </c>
      <c r="B623" s="93" t="s">
        <v>1</v>
      </c>
      <c r="C623" s="114">
        <f t="shared" ref="C623:H623" si="118">+C551*$L$2</f>
        <v>753.66000000000008</v>
      </c>
      <c r="D623" s="94">
        <f t="shared" si="118"/>
        <v>814.61</v>
      </c>
      <c r="E623" s="94">
        <f t="shared" si="118"/>
        <v>421.35</v>
      </c>
      <c r="F623" s="94">
        <f t="shared" si="118"/>
        <v>337.08000000000004</v>
      </c>
      <c r="G623" s="94">
        <f t="shared" si="118"/>
        <v>243.27</v>
      </c>
      <c r="H623" s="95">
        <f t="shared" si="118"/>
        <v>168.54000000000002</v>
      </c>
    </row>
    <row r="624" spans="1:8" hidden="1" x14ac:dyDescent="0.2">
      <c r="A624" s="91">
        <v>3</v>
      </c>
      <c r="B624" s="93" t="s">
        <v>14</v>
      </c>
      <c r="C624" s="114">
        <f t="shared" ref="C624:H624" si="119">+C552*$L$2</f>
        <v>1102.4000000000001</v>
      </c>
      <c r="D624" s="94">
        <f t="shared" si="119"/>
        <v>1198.3300000000002</v>
      </c>
      <c r="E624" s="94">
        <f t="shared" si="119"/>
        <v>608.44000000000005</v>
      </c>
      <c r="F624" s="94">
        <f t="shared" si="119"/>
        <v>486.54</v>
      </c>
      <c r="G624" s="94">
        <f t="shared" si="119"/>
        <v>355.63</v>
      </c>
      <c r="H624" s="95">
        <f t="shared" si="119"/>
        <v>252.81</v>
      </c>
    </row>
    <row r="625" spans="1:15" hidden="1" x14ac:dyDescent="0.2">
      <c r="A625" s="91">
        <v>1</v>
      </c>
      <c r="B625" s="93" t="s">
        <v>3</v>
      </c>
      <c r="C625" s="114">
        <f t="shared" ref="C625:H625" si="120">+C553*$L$2</f>
        <v>119.25</v>
      </c>
      <c r="D625" s="94">
        <f t="shared" si="120"/>
        <v>119.25</v>
      </c>
      <c r="E625" s="94">
        <f t="shared" si="120"/>
        <v>119.25</v>
      </c>
      <c r="F625" s="94">
        <f t="shared" si="120"/>
        <v>119.25</v>
      </c>
      <c r="G625" s="94">
        <f t="shared" si="120"/>
        <v>119.25</v>
      </c>
      <c r="H625" s="95">
        <f t="shared" si="120"/>
        <v>119.25</v>
      </c>
    </row>
    <row r="626" spans="1:15" ht="13.5" hidden="1" thickBot="1" x14ac:dyDescent="0.25">
      <c r="A626" s="98">
        <v>1</v>
      </c>
      <c r="B626" s="99" t="s">
        <v>2</v>
      </c>
      <c r="C626" s="121">
        <f t="shared" ref="C626:H626" si="121">+C554*$L$2</f>
        <v>132.5</v>
      </c>
      <c r="D626" s="100">
        <f t="shared" si="121"/>
        <v>159</v>
      </c>
      <c r="E626" s="100">
        <f t="shared" si="121"/>
        <v>159</v>
      </c>
      <c r="F626" s="100">
        <f t="shared" si="121"/>
        <v>159</v>
      </c>
      <c r="G626" s="100">
        <f t="shared" si="121"/>
        <v>159</v>
      </c>
      <c r="H626" s="101">
        <f t="shared" si="121"/>
        <v>159</v>
      </c>
    </row>
    <row r="627" spans="1:15" ht="13.5" hidden="1" thickBot="1" x14ac:dyDescent="0.25">
      <c r="A627" s="98"/>
      <c r="B627" s="162" t="s">
        <v>195</v>
      </c>
      <c r="C627" s="121"/>
      <c r="D627" s="100">
        <f>+D555*$L$2</f>
        <v>95.4</v>
      </c>
      <c r="E627" s="100">
        <f>+E555*$L$2</f>
        <v>182.85000000000002</v>
      </c>
      <c r="F627" s="100">
        <f>+F555*$L$2</f>
        <v>410.75</v>
      </c>
      <c r="G627" s="100">
        <f>+G555*$L$2</f>
        <v>704.90000000000009</v>
      </c>
      <c r="H627" s="101">
        <f>+H555*$L$2</f>
        <v>1102.4000000000001</v>
      </c>
    </row>
    <row r="628" spans="1:15" ht="13.5" hidden="1" thickBot="1" x14ac:dyDescent="0.25"/>
    <row r="629" spans="1:15" ht="18" hidden="1" x14ac:dyDescent="0.25">
      <c r="A629" s="322" t="s">
        <v>251</v>
      </c>
      <c r="B629" s="323"/>
      <c r="C629" s="323"/>
      <c r="D629" s="323"/>
      <c r="E629" s="323"/>
      <c r="F629" s="323"/>
      <c r="G629" s="323"/>
      <c r="H629" s="324"/>
    </row>
    <row r="630" spans="1:15" ht="18" hidden="1" x14ac:dyDescent="0.25">
      <c r="A630" s="325" t="s">
        <v>28</v>
      </c>
      <c r="B630" s="326"/>
      <c r="C630" s="326"/>
      <c r="D630" s="326"/>
      <c r="E630" s="326"/>
      <c r="F630" s="326"/>
      <c r="G630" s="326"/>
      <c r="H630" s="327"/>
    </row>
    <row r="631" spans="1:15" hidden="1" x14ac:dyDescent="0.2">
      <c r="A631" s="328" t="s">
        <v>0</v>
      </c>
      <c r="B631" s="329"/>
      <c r="C631" s="329"/>
      <c r="D631" s="329"/>
      <c r="E631" s="329"/>
      <c r="F631" s="329"/>
      <c r="G631" s="329"/>
      <c r="H631" s="90"/>
    </row>
    <row r="632" spans="1:15" hidden="1" x14ac:dyDescent="0.2">
      <c r="A632" s="91" t="s">
        <v>4</v>
      </c>
      <c r="B632" s="92" t="s">
        <v>4</v>
      </c>
      <c r="C632" s="155" t="s">
        <v>75</v>
      </c>
      <c r="D632" s="154" t="s">
        <v>76</v>
      </c>
      <c r="E632" s="154" t="s">
        <v>77</v>
      </c>
      <c r="F632" s="154" t="s">
        <v>78</v>
      </c>
      <c r="G632" s="154" t="s">
        <v>79</v>
      </c>
      <c r="H632" s="90" t="s">
        <v>80</v>
      </c>
    </row>
    <row r="633" spans="1:15" ht="15" hidden="1" x14ac:dyDescent="0.2">
      <c r="A633" s="91">
        <v>18</v>
      </c>
      <c r="B633" s="93"/>
      <c r="C633" s="114">
        <v>1326</v>
      </c>
      <c r="D633" s="159">
        <v>1371</v>
      </c>
      <c r="E633" s="159">
        <v>1193</v>
      </c>
      <c r="F633" s="159">
        <v>1086</v>
      </c>
      <c r="G633" s="159">
        <v>837</v>
      </c>
      <c r="H633" s="161">
        <v>650</v>
      </c>
      <c r="J633" s="107"/>
      <c r="K633" s="107"/>
      <c r="L633" s="107"/>
      <c r="M633" s="107"/>
      <c r="N633" s="107"/>
      <c r="O633" s="107"/>
    </row>
    <row r="634" spans="1:15" ht="15" hidden="1" x14ac:dyDescent="0.2">
      <c r="A634" s="91">
        <v>19</v>
      </c>
      <c r="B634" s="93"/>
      <c r="C634" s="114">
        <v>1471</v>
      </c>
      <c r="D634" s="159">
        <v>1398</v>
      </c>
      <c r="E634" s="159">
        <v>1211</v>
      </c>
      <c r="F634" s="159">
        <v>1104</v>
      </c>
      <c r="G634" s="159">
        <v>855</v>
      </c>
      <c r="H634" s="161">
        <v>659</v>
      </c>
      <c r="J634" s="107"/>
      <c r="K634" s="107"/>
      <c r="L634" s="107"/>
      <c r="M634" s="107"/>
      <c r="N634" s="107"/>
      <c r="O634" s="107"/>
    </row>
    <row r="635" spans="1:15" ht="15" hidden="1" x14ac:dyDescent="0.2">
      <c r="A635" s="91">
        <v>20</v>
      </c>
      <c r="B635" s="93"/>
      <c r="C635" s="114">
        <v>1702</v>
      </c>
      <c r="D635" s="159">
        <v>1416</v>
      </c>
      <c r="E635" s="159">
        <v>1229</v>
      </c>
      <c r="F635" s="159">
        <v>1122</v>
      </c>
      <c r="G635" s="159">
        <v>873</v>
      </c>
      <c r="H635" s="161">
        <v>677</v>
      </c>
      <c r="J635" s="107"/>
      <c r="K635" s="107"/>
      <c r="L635" s="107"/>
      <c r="M635" s="107"/>
      <c r="N635" s="107"/>
      <c r="O635" s="107"/>
    </row>
    <row r="636" spans="1:15" ht="15" hidden="1" x14ac:dyDescent="0.2">
      <c r="A636" s="91">
        <v>21</v>
      </c>
      <c r="B636" s="93"/>
      <c r="C636" s="114">
        <v>1883</v>
      </c>
      <c r="D636" s="159">
        <v>1443</v>
      </c>
      <c r="E636" s="159">
        <v>1256</v>
      </c>
      <c r="F636" s="159">
        <v>1140</v>
      </c>
      <c r="G636" s="159">
        <v>899</v>
      </c>
      <c r="H636" s="161">
        <v>686</v>
      </c>
      <c r="J636" s="107"/>
      <c r="K636" s="107"/>
      <c r="L636" s="107"/>
      <c r="M636" s="107"/>
      <c r="N636" s="107"/>
      <c r="O636" s="107"/>
    </row>
    <row r="637" spans="1:15" ht="15" hidden="1" x14ac:dyDescent="0.2">
      <c r="A637" s="91">
        <v>22</v>
      </c>
      <c r="B637" s="93"/>
      <c r="C637" s="114">
        <v>2123</v>
      </c>
      <c r="D637" s="159">
        <v>1469</v>
      </c>
      <c r="E637" s="159">
        <v>1273</v>
      </c>
      <c r="F637" s="159">
        <v>1166</v>
      </c>
      <c r="G637" s="159">
        <v>917</v>
      </c>
      <c r="H637" s="161">
        <v>703</v>
      </c>
      <c r="J637" s="107"/>
      <c r="K637" s="107"/>
      <c r="L637" s="107"/>
      <c r="M637" s="107"/>
      <c r="N637" s="107"/>
      <c r="O637" s="107"/>
    </row>
    <row r="638" spans="1:15" ht="15" hidden="1" x14ac:dyDescent="0.2">
      <c r="A638" s="91">
        <v>23</v>
      </c>
      <c r="B638" s="93"/>
      <c r="C638" s="114">
        <v>2461</v>
      </c>
      <c r="D638" s="159">
        <v>1487</v>
      </c>
      <c r="E638" s="159">
        <v>1300</v>
      </c>
      <c r="F638" s="159">
        <v>1184</v>
      </c>
      <c r="G638" s="159">
        <v>935</v>
      </c>
      <c r="H638" s="161">
        <v>712</v>
      </c>
      <c r="J638" s="107"/>
      <c r="K638" s="107"/>
      <c r="L638" s="107"/>
      <c r="M638" s="107"/>
      <c r="N638" s="107"/>
      <c r="O638" s="107"/>
    </row>
    <row r="639" spans="1:15" ht="15" hidden="1" x14ac:dyDescent="0.2">
      <c r="A639" s="91">
        <v>24</v>
      </c>
      <c r="B639" s="93"/>
      <c r="C639" s="114">
        <v>2695</v>
      </c>
      <c r="D639" s="159">
        <v>1514</v>
      </c>
      <c r="E639" s="159">
        <v>1318</v>
      </c>
      <c r="F639" s="159">
        <v>1202</v>
      </c>
      <c r="G639" s="159">
        <v>953</v>
      </c>
      <c r="H639" s="161">
        <v>730</v>
      </c>
      <c r="J639" s="107"/>
      <c r="K639" s="107"/>
      <c r="L639" s="107"/>
      <c r="M639" s="107"/>
      <c r="N639" s="107"/>
      <c r="O639" s="107"/>
    </row>
    <row r="640" spans="1:15" ht="15" hidden="1" x14ac:dyDescent="0.2">
      <c r="A640" s="91">
        <v>25</v>
      </c>
      <c r="B640" s="93"/>
      <c r="C640" s="114">
        <v>3185</v>
      </c>
      <c r="D640" s="159">
        <v>1540</v>
      </c>
      <c r="E640" s="159">
        <v>1336</v>
      </c>
      <c r="F640" s="159">
        <v>1220</v>
      </c>
      <c r="G640" s="159">
        <v>971</v>
      </c>
      <c r="H640" s="161">
        <v>739</v>
      </c>
      <c r="J640" s="107"/>
      <c r="K640" s="107"/>
      <c r="L640" s="107"/>
      <c r="M640" s="107"/>
      <c r="N640" s="107"/>
      <c r="O640" s="107"/>
    </row>
    <row r="641" spans="1:15" ht="15" hidden="1" x14ac:dyDescent="0.2">
      <c r="A641" s="91">
        <v>26</v>
      </c>
      <c r="B641" s="93"/>
      <c r="C641" s="114">
        <v>3358</v>
      </c>
      <c r="D641" s="159">
        <v>1567</v>
      </c>
      <c r="E641" s="159">
        <v>1362</v>
      </c>
      <c r="F641" s="159">
        <v>1238</v>
      </c>
      <c r="G641" s="159">
        <v>988</v>
      </c>
      <c r="H641" s="161">
        <v>757</v>
      </c>
      <c r="J641" s="107"/>
      <c r="K641" s="107"/>
      <c r="L641" s="107"/>
      <c r="M641" s="107"/>
      <c r="N641" s="107"/>
      <c r="O641" s="107"/>
    </row>
    <row r="642" spans="1:15" ht="15" hidden="1" x14ac:dyDescent="0.2">
      <c r="A642" s="91">
        <v>27</v>
      </c>
      <c r="B642" s="93"/>
      <c r="C642" s="114">
        <v>3780</v>
      </c>
      <c r="D642" s="159">
        <v>1585</v>
      </c>
      <c r="E642" s="159">
        <v>1380</v>
      </c>
      <c r="F642" s="159">
        <v>1256</v>
      </c>
      <c r="G642" s="159">
        <v>1015</v>
      </c>
      <c r="H642" s="161">
        <v>766</v>
      </c>
      <c r="J642" s="107"/>
      <c r="K642" s="107"/>
      <c r="L642" s="107"/>
      <c r="M642" s="107"/>
      <c r="N642" s="107"/>
      <c r="O642" s="107"/>
    </row>
    <row r="643" spans="1:15" ht="15" hidden="1" x14ac:dyDescent="0.2">
      <c r="A643" s="91">
        <v>28</v>
      </c>
      <c r="B643" s="93"/>
      <c r="C643" s="114">
        <v>4205</v>
      </c>
      <c r="D643" s="159">
        <v>1621</v>
      </c>
      <c r="E643" s="159">
        <v>1407</v>
      </c>
      <c r="F643" s="159">
        <v>1282</v>
      </c>
      <c r="G643" s="159">
        <v>1033</v>
      </c>
      <c r="H643" s="161">
        <v>784</v>
      </c>
      <c r="J643" s="107"/>
      <c r="K643" s="107"/>
      <c r="L643" s="107"/>
      <c r="M643" s="107"/>
      <c r="N643" s="107"/>
      <c r="O643" s="107"/>
    </row>
    <row r="644" spans="1:15" ht="15" hidden="1" x14ac:dyDescent="0.2">
      <c r="A644" s="91">
        <v>29</v>
      </c>
      <c r="B644" s="93"/>
      <c r="C644" s="114">
        <v>4626</v>
      </c>
      <c r="D644" s="159">
        <v>1647</v>
      </c>
      <c r="E644" s="159">
        <v>1434</v>
      </c>
      <c r="F644" s="159">
        <v>1309</v>
      </c>
      <c r="G644" s="159">
        <v>1060</v>
      </c>
      <c r="H644" s="161">
        <v>801</v>
      </c>
      <c r="J644" s="107"/>
      <c r="K644" s="107"/>
      <c r="L644" s="107"/>
      <c r="M644" s="107"/>
      <c r="N644" s="107"/>
      <c r="O644" s="107"/>
    </row>
    <row r="645" spans="1:15" ht="15" hidden="1" x14ac:dyDescent="0.2">
      <c r="A645" s="91">
        <v>30</v>
      </c>
      <c r="B645" s="93"/>
      <c r="C645" s="114">
        <v>5047</v>
      </c>
      <c r="D645" s="159">
        <v>1674</v>
      </c>
      <c r="E645" s="159">
        <v>1460</v>
      </c>
      <c r="F645" s="159">
        <v>1327</v>
      </c>
      <c r="G645" s="159">
        <v>1086</v>
      </c>
      <c r="H645" s="161">
        <v>819</v>
      </c>
      <c r="J645" s="107"/>
      <c r="K645" s="107"/>
      <c r="L645" s="107"/>
      <c r="M645" s="107"/>
      <c r="N645" s="107"/>
      <c r="O645" s="107"/>
    </row>
    <row r="646" spans="1:15" ht="15" hidden="1" x14ac:dyDescent="0.2">
      <c r="A646" s="91">
        <v>31</v>
      </c>
      <c r="B646" s="93"/>
      <c r="C646" s="114">
        <v>5068</v>
      </c>
      <c r="D646" s="159">
        <v>1701</v>
      </c>
      <c r="E646" s="159">
        <v>1478</v>
      </c>
      <c r="F646" s="159">
        <v>1353</v>
      </c>
      <c r="G646" s="159">
        <v>1104</v>
      </c>
      <c r="H646" s="161">
        <v>828</v>
      </c>
      <c r="J646" s="107"/>
      <c r="K646" s="107"/>
      <c r="L646" s="107"/>
      <c r="M646" s="107"/>
      <c r="N646" s="107"/>
      <c r="O646" s="107"/>
    </row>
    <row r="647" spans="1:15" ht="15" hidden="1" x14ac:dyDescent="0.2">
      <c r="A647" s="91">
        <v>32</v>
      </c>
      <c r="B647" s="93"/>
      <c r="C647" s="114">
        <v>5088</v>
      </c>
      <c r="D647" s="159">
        <v>1727</v>
      </c>
      <c r="E647" s="159">
        <v>1505</v>
      </c>
      <c r="F647" s="159">
        <v>1371</v>
      </c>
      <c r="G647" s="159">
        <v>1131</v>
      </c>
      <c r="H647" s="161">
        <v>846</v>
      </c>
      <c r="J647" s="107"/>
      <c r="K647" s="107"/>
      <c r="L647" s="107"/>
      <c r="M647" s="107"/>
      <c r="N647" s="107"/>
      <c r="O647" s="107"/>
    </row>
    <row r="648" spans="1:15" ht="15" hidden="1" x14ac:dyDescent="0.2">
      <c r="A648" s="91">
        <v>33</v>
      </c>
      <c r="B648" s="93"/>
      <c r="C648" s="114">
        <v>5656</v>
      </c>
      <c r="D648" s="159">
        <v>1781</v>
      </c>
      <c r="E648" s="159">
        <v>1549</v>
      </c>
      <c r="F648" s="159">
        <v>1407</v>
      </c>
      <c r="G648" s="159">
        <v>1166</v>
      </c>
      <c r="H648" s="161">
        <v>873</v>
      </c>
      <c r="J648" s="107"/>
      <c r="K648" s="107"/>
      <c r="L648" s="107"/>
      <c r="M648" s="107"/>
      <c r="N648" s="107"/>
      <c r="O648" s="107"/>
    </row>
    <row r="649" spans="1:15" ht="15" hidden="1" x14ac:dyDescent="0.2">
      <c r="A649" s="91">
        <v>34</v>
      </c>
      <c r="B649" s="93"/>
      <c r="C649" s="114">
        <v>6225</v>
      </c>
      <c r="D649" s="159">
        <v>1825</v>
      </c>
      <c r="E649" s="159">
        <v>1585</v>
      </c>
      <c r="F649" s="159">
        <v>1451</v>
      </c>
      <c r="G649" s="159">
        <v>1202</v>
      </c>
      <c r="H649" s="161">
        <v>899</v>
      </c>
      <c r="J649" s="107"/>
      <c r="K649" s="107"/>
      <c r="L649" s="107"/>
      <c r="M649" s="107"/>
      <c r="N649" s="107"/>
      <c r="O649" s="107"/>
    </row>
    <row r="650" spans="1:15" ht="15" hidden="1" x14ac:dyDescent="0.2">
      <c r="A650" s="91">
        <v>35</v>
      </c>
      <c r="B650" s="93"/>
      <c r="C650" s="114">
        <v>6508</v>
      </c>
      <c r="D650" s="159">
        <v>1879</v>
      </c>
      <c r="E650" s="159">
        <v>1630</v>
      </c>
      <c r="F650" s="159">
        <v>1487</v>
      </c>
      <c r="G650" s="159">
        <v>1238</v>
      </c>
      <c r="H650" s="161">
        <v>926</v>
      </c>
      <c r="J650" s="107"/>
      <c r="K650" s="107"/>
      <c r="L650" s="107"/>
      <c r="M650" s="107"/>
      <c r="N650" s="107"/>
      <c r="O650" s="107"/>
    </row>
    <row r="651" spans="1:15" ht="15" hidden="1" x14ac:dyDescent="0.2">
      <c r="A651" s="91">
        <v>36</v>
      </c>
      <c r="B651" s="93"/>
      <c r="C651" s="114">
        <v>6554</v>
      </c>
      <c r="D651" s="159">
        <v>1923</v>
      </c>
      <c r="E651" s="159">
        <v>1674</v>
      </c>
      <c r="F651" s="159">
        <v>1523</v>
      </c>
      <c r="G651" s="159">
        <v>1273</v>
      </c>
      <c r="H651" s="161">
        <v>944</v>
      </c>
      <c r="J651" s="107"/>
      <c r="K651" s="107"/>
      <c r="L651" s="107"/>
      <c r="M651" s="107"/>
      <c r="N651" s="107"/>
      <c r="O651" s="107"/>
    </row>
    <row r="652" spans="1:15" ht="15" hidden="1" x14ac:dyDescent="0.2">
      <c r="A652" s="91">
        <v>37</v>
      </c>
      <c r="B652" s="93"/>
      <c r="C652" s="114">
        <v>7376</v>
      </c>
      <c r="D652" s="159">
        <v>1968</v>
      </c>
      <c r="E652" s="159">
        <v>1710</v>
      </c>
      <c r="F652" s="159">
        <v>1558</v>
      </c>
      <c r="G652" s="159">
        <v>1300</v>
      </c>
      <c r="H652" s="161">
        <v>971</v>
      </c>
      <c r="J652" s="107"/>
      <c r="K652" s="107"/>
      <c r="L652" s="107"/>
      <c r="M652" s="107"/>
      <c r="N652" s="107"/>
      <c r="O652" s="107"/>
    </row>
    <row r="653" spans="1:15" ht="15" hidden="1" x14ac:dyDescent="0.2">
      <c r="A653" s="91">
        <v>38</v>
      </c>
      <c r="B653" s="93"/>
      <c r="C653" s="114">
        <v>8198</v>
      </c>
      <c r="D653" s="159">
        <v>2021</v>
      </c>
      <c r="E653" s="159">
        <v>1754</v>
      </c>
      <c r="F653" s="159">
        <v>1603</v>
      </c>
      <c r="G653" s="159">
        <v>1345</v>
      </c>
      <c r="H653" s="161">
        <v>997</v>
      </c>
      <c r="J653" s="107"/>
      <c r="K653" s="107"/>
      <c r="L653" s="107"/>
      <c r="M653" s="107"/>
      <c r="N653" s="107"/>
      <c r="O653" s="107"/>
    </row>
    <row r="654" spans="1:15" ht="15" hidden="1" x14ac:dyDescent="0.2">
      <c r="A654" s="91">
        <v>39</v>
      </c>
      <c r="B654" s="93"/>
      <c r="C654" s="114">
        <v>9021</v>
      </c>
      <c r="D654" s="159">
        <v>2066</v>
      </c>
      <c r="E654" s="159">
        <v>1799</v>
      </c>
      <c r="F654" s="159">
        <v>1638</v>
      </c>
      <c r="G654" s="159">
        <v>1380</v>
      </c>
      <c r="H654" s="161">
        <v>1024</v>
      </c>
      <c r="J654" s="107"/>
      <c r="K654" s="107"/>
      <c r="L654" s="107"/>
      <c r="M654" s="107"/>
      <c r="N654" s="107"/>
      <c r="O654" s="107"/>
    </row>
    <row r="655" spans="1:15" ht="15" hidden="1" x14ac:dyDescent="0.2">
      <c r="A655" s="91">
        <v>40</v>
      </c>
      <c r="B655" s="93"/>
      <c r="C655" s="114">
        <v>9842</v>
      </c>
      <c r="D655" s="159">
        <v>2119</v>
      </c>
      <c r="E655" s="159">
        <v>1843</v>
      </c>
      <c r="F655" s="159">
        <v>1674</v>
      </c>
      <c r="G655" s="159">
        <v>1416</v>
      </c>
      <c r="H655" s="161">
        <v>1051</v>
      </c>
      <c r="J655" s="107"/>
      <c r="K655" s="107"/>
      <c r="L655" s="107"/>
      <c r="M655" s="107"/>
      <c r="N655" s="107"/>
      <c r="O655" s="107"/>
    </row>
    <row r="656" spans="1:15" ht="15" hidden="1" x14ac:dyDescent="0.2">
      <c r="A656" s="91">
        <v>41</v>
      </c>
      <c r="B656" s="93"/>
      <c r="C656" s="114">
        <v>10752</v>
      </c>
      <c r="D656" s="159">
        <v>2164</v>
      </c>
      <c r="E656" s="159">
        <v>1879</v>
      </c>
      <c r="F656" s="159">
        <v>1719</v>
      </c>
      <c r="G656" s="159">
        <v>1451</v>
      </c>
      <c r="H656" s="161">
        <v>1077</v>
      </c>
      <c r="J656" s="107"/>
      <c r="K656" s="107"/>
      <c r="L656" s="107"/>
      <c r="M656" s="107"/>
      <c r="N656" s="107"/>
      <c r="O656" s="107"/>
    </row>
    <row r="657" spans="1:15" ht="15" hidden="1" x14ac:dyDescent="0.2">
      <c r="A657" s="91">
        <v>42</v>
      </c>
      <c r="B657" s="93"/>
      <c r="C657" s="114"/>
      <c r="D657" s="159">
        <v>2208</v>
      </c>
      <c r="E657" s="159">
        <v>1923</v>
      </c>
      <c r="F657" s="159">
        <v>1754</v>
      </c>
      <c r="G657" s="159">
        <v>1487</v>
      </c>
      <c r="H657" s="161">
        <v>1095</v>
      </c>
      <c r="J657" s="107"/>
      <c r="K657" s="107"/>
      <c r="L657" s="107"/>
      <c r="M657" s="107"/>
      <c r="N657" s="107"/>
      <c r="O657" s="107"/>
    </row>
    <row r="658" spans="1:15" ht="15" hidden="1" x14ac:dyDescent="0.2">
      <c r="A658" s="91">
        <v>43</v>
      </c>
      <c r="B658" s="93"/>
      <c r="C658" s="114"/>
      <c r="D658" s="159">
        <v>2297</v>
      </c>
      <c r="E658" s="159">
        <v>1995</v>
      </c>
      <c r="F658" s="159">
        <v>1825</v>
      </c>
      <c r="G658" s="159">
        <v>1558</v>
      </c>
      <c r="H658" s="161">
        <v>1149</v>
      </c>
      <c r="J658" s="107"/>
      <c r="K658" s="107"/>
      <c r="L658" s="107"/>
      <c r="M658" s="107"/>
      <c r="N658" s="107"/>
      <c r="O658" s="107"/>
    </row>
    <row r="659" spans="1:15" ht="15" hidden="1" x14ac:dyDescent="0.2">
      <c r="A659" s="91">
        <v>44</v>
      </c>
      <c r="B659" s="93"/>
      <c r="C659" s="114"/>
      <c r="D659" s="159">
        <v>2386</v>
      </c>
      <c r="E659" s="159">
        <v>2075</v>
      </c>
      <c r="F659" s="159">
        <v>1897</v>
      </c>
      <c r="G659" s="159">
        <v>1621</v>
      </c>
      <c r="H659" s="161">
        <v>1193</v>
      </c>
      <c r="J659" s="107"/>
      <c r="K659" s="107"/>
      <c r="L659" s="107"/>
      <c r="M659" s="107"/>
      <c r="N659" s="107"/>
      <c r="O659" s="107"/>
    </row>
    <row r="660" spans="1:15" ht="15" hidden="1" x14ac:dyDescent="0.2">
      <c r="A660" s="91">
        <v>45</v>
      </c>
      <c r="B660" s="93"/>
      <c r="C660" s="114"/>
      <c r="D660" s="159">
        <v>2475</v>
      </c>
      <c r="E660" s="159">
        <v>2155</v>
      </c>
      <c r="F660" s="159">
        <v>1959</v>
      </c>
      <c r="G660" s="159">
        <v>1683</v>
      </c>
      <c r="H660" s="161">
        <v>1238</v>
      </c>
      <c r="J660" s="107"/>
      <c r="K660" s="107"/>
      <c r="L660" s="107"/>
      <c r="M660" s="107"/>
      <c r="N660" s="107"/>
      <c r="O660" s="107"/>
    </row>
    <row r="661" spans="1:15" ht="15" hidden="1" x14ac:dyDescent="0.2">
      <c r="A661" s="91">
        <v>46</v>
      </c>
      <c r="B661" s="93"/>
      <c r="C661" s="114"/>
      <c r="D661" s="159">
        <v>2564</v>
      </c>
      <c r="E661" s="159">
        <v>2226</v>
      </c>
      <c r="F661" s="159">
        <v>2030</v>
      </c>
      <c r="G661" s="159">
        <v>1754</v>
      </c>
      <c r="H661" s="161">
        <v>1282</v>
      </c>
      <c r="J661" s="107"/>
      <c r="K661" s="107"/>
      <c r="L661" s="107"/>
      <c r="M661" s="107"/>
      <c r="N661" s="107"/>
      <c r="O661" s="107"/>
    </row>
    <row r="662" spans="1:15" ht="15" hidden="1" x14ac:dyDescent="0.2">
      <c r="A662" s="91">
        <v>47</v>
      </c>
      <c r="B662" s="93"/>
      <c r="C662" s="114"/>
      <c r="D662" s="159">
        <v>2654</v>
      </c>
      <c r="E662" s="159">
        <v>2306</v>
      </c>
      <c r="F662" s="159">
        <v>2101</v>
      </c>
      <c r="G662" s="159">
        <v>1816</v>
      </c>
      <c r="H662" s="161">
        <v>1336</v>
      </c>
      <c r="J662" s="107"/>
      <c r="K662" s="107"/>
      <c r="L662" s="107"/>
      <c r="M662" s="107"/>
      <c r="N662" s="107"/>
      <c r="O662" s="107"/>
    </row>
    <row r="663" spans="1:15" ht="15" hidden="1" x14ac:dyDescent="0.2">
      <c r="A663" s="91">
        <v>48</v>
      </c>
      <c r="B663" s="93"/>
      <c r="C663" s="114"/>
      <c r="D663" s="159">
        <v>2743</v>
      </c>
      <c r="E663" s="159">
        <v>2386</v>
      </c>
      <c r="F663" s="159">
        <v>2173</v>
      </c>
      <c r="G663" s="159">
        <v>1888</v>
      </c>
      <c r="H663" s="161">
        <v>1380</v>
      </c>
      <c r="J663" s="107"/>
      <c r="K663" s="107"/>
      <c r="L663" s="107"/>
      <c r="M663" s="107"/>
      <c r="N663" s="107"/>
      <c r="O663" s="107"/>
    </row>
    <row r="664" spans="1:15" ht="15" hidden="1" x14ac:dyDescent="0.2">
      <c r="A664" s="91">
        <v>49</v>
      </c>
      <c r="B664" s="93"/>
      <c r="C664" s="114"/>
      <c r="D664" s="159">
        <v>2841</v>
      </c>
      <c r="E664" s="159">
        <v>2467</v>
      </c>
      <c r="F664" s="159">
        <v>2253</v>
      </c>
      <c r="G664" s="159">
        <v>1950</v>
      </c>
      <c r="H664" s="161">
        <v>1434</v>
      </c>
      <c r="J664" s="107"/>
      <c r="K664" s="107"/>
      <c r="L664" s="107"/>
      <c r="M664" s="107"/>
      <c r="N664" s="107"/>
      <c r="O664" s="107"/>
    </row>
    <row r="665" spans="1:15" ht="15" hidden="1" x14ac:dyDescent="0.2">
      <c r="A665" s="91">
        <v>50</v>
      </c>
      <c r="B665" s="93"/>
      <c r="C665" s="114"/>
      <c r="D665" s="159">
        <v>2930</v>
      </c>
      <c r="E665" s="159">
        <v>2547</v>
      </c>
      <c r="F665" s="159">
        <v>2324</v>
      </c>
      <c r="G665" s="159">
        <v>2021</v>
      </c>
      <c r="H665" s="161">
        <v>1478</v>
      </c>
      <c r="J665" s="107"/>
      <c r="K665" s="107"/>
      <c r="L665" s="107"/>
      <c r="M665" s="107"/>
      <c r="N665" s="107"/>
      <c r="O665" s="107"/>
    </row>
    <row r="666" spans="1:15" ht="15" hidden="1" x14ac:dyDescent="0.2">
      <c r="A666" s="91">
        <v>51</v>
      </c>
      <c r="B666" s="93"/>
      <c r="C666" s="114"/>
      <c r="D666" s="159">
        <v>3019</v>
      </c>
      <c r="E666" s="159">
        <v>2627</v>
      </c>
      <c r="F666" s="159">
        <v>2395</v>
      </c>
      <c r="G666" s="159">
        <v>2093</v>
      </c>
      <c r="H666" s="161">
        <v>1532</v>
      </c>
      <c r="J666" s="107"/>
      <c r="K666" s="107"/>
      <c r="L666" s="107"/>
      <c r="M666" s="107"/>
      <c r="N666" s="107"/>
      <c r="O666" s="107"/>
    </row>
    <row r="667" spans="1:15" ht="15" hidden="1" x14ac:dyDescent="0.2">
      <c r="A667" s="91">
        <v>52</v>
      </c>
      <c r="B667" s="93"/>
      <c r="C667" s="114"/>
      <c r="D667" s="159">
        <v>3117</v>
      </c>
      <c r="E667" s="159">
        <v>2707</v>
      </c>
      <c r="F667" s="159">
        <v>2475</v>
      </c>
      <c r="G667" s="159">
        <v>2155</v>
      </c>
      <c r="H667" s="161">
        <v>1576</v>
      </c>
      <c r="J667" s="107"/>
      <c r="K667" s="107"/>
      <c r="L667" s="107"/>
      <c r="M667" s="107"/>
      <c r="N667" s="107"/>
      <c r="O667" s="107"/>
    </row>
    <row r="668" spans="1:15" ht="15" hidden="1" x14ac:dyDescent="0.2">
      <c r="A668" s="91">
        <v>53</v>
      </c>
      <c r="B668" s="93"/>
      <c r="C668" s="114"/>
      <c r="D668" s="159">
        <v>3223</v>
      </c>
      <c r="E668" s="159">
        <v>2805</v>
      </c>
      <c r="F668" s="159">
        <v>2556</v>
      </c>
      <c r="G668" s="159">
        <v>2244</v>
      </c>
      <c r="H668" s="161">
        <v>1638</v>
      </c>
      <c r="J668" s="107"/>
      <c r="K668" s="107"/>
      <c r="L668" s="107"/>
      <c r="M668" s="107"/>
      <c r="N668" s="107"/>
      <c r="O668" s="107"/>
    </row>
    <row r="669" spans="1:15" ht="15" hidden="1" x14ac:dyDescent="0.2">
      <c r="A669" s="91">
        <v>54</v>
      </c>
      <c r="B669" s="93"/>
      <c r="C669" s="114"/>
      <c r="D669" s="159">
        <v>3339</v>
      </c>
      <c r="E669" s="159">
        <v>2903</v>
      </c>
      <c r="F669" s="159">
        <v>2645</v>
      </c>
      <c r="G669" s="159">
        <v>2324</v>
      </c>
      <c r="H669" s="161">
        <v>1692</v>
      </c>
      <c r="J669" s="107"/>
      <c r="K669" s="107"/>
      <c r="L669" s="107"/>
      <c r="M669" s="107"/>
      <c r="N669" s="107"/>
      <c r="O669" s="107"/>
    </row>
    <row r="670" spans="1:15" ht="15" hidden="1" x14ac:dyDescent="0.2">
      <c r="A670" s="91">
        <v>55</v>
      </c>
      <c r="B670" s="93"/>
      <c r="C670" s="114"/>
      <c r="D670" s="159">
        <v>3446</v>
      </c>
      <c r="E670" s="159">
        <v>3001</v>
      </c>
      <c r="F670" s="159">
        <v>2734</v>
      </c>
      <c r="G670" s="159">
        <v>2413</v>
      </c>
      <c r="H670" s="161">
        <v>1754</v>
      </c>
      <c r="J670" s="107"/>
      <c r="K670" s="107"/>
      <c r="L670" s="107"/>
      <c r="M670" s="107"/>
      <c r="N670" s="107"/>
      <c r="O670" s="107"/>
    </row>
    <row r="671" spans="1:15" ht="15" hidden="1" x14ac:dyDescent="0.2">
      <c r="A671" s="91">
        <v>56</v>
      </c>
      <c r="B671" s="93"/>
      <c r="C671" s="114"/>
      <c r="D671" s="159">
        <v>3553</v>
      </c>
      <c r="E671" s="159">
        <v>3090</v>
      </c>
      <c r="F671" s="159">
        <v>2823</v>
      </c>
      <c r="G671" s="159">
        <v>2493</v>
      </c>
      <c r="H671" s="161">
        <v>1808</v>
      </c>
      <c r="J671" s="107"/>
      <c r="K671" s="107"/>
      <c r="L671" s="107"/>
      <c r="M671" s="107"/>
      <c r="N671" s="107"/>
      <c r="O671" s="107"/>
    </row>
    <row r="672" spans="1:15" ht="15" hidden="1" x14ac:dyDescent="0.2">
      <c r="A672" s="91">
        <v>57</v>
      </c>
      <c r="B672" s="93"/>
      <c r="C672" s="114"/>
      <c r="D672" s="159">
        <v>3669</v>
      </c>
      <c r="E672" s="159">
        <v>3188</v>
      </c>
      <c r="F672" s="159">
        <v>2903</v>
      </c>
      <c r="G672" s="159">
        <v>2582</v>
      </c>
      <c r="H672" s="161">
        <v>1870</v>
      </c>
      <c r="J672" s="107"/>
      <c r="K672" s="107"/>
      <c r="L672" s="107"/>
      <c r="M672" s="107"/>
      <c r="N672" s="107"/>
      <c r="O672" s="107"/>
    </row>
    <row r="673" spans="1:15" ht="15" hidden="1" x14ac:dyDescent="0.2">
      <c r="A673" s="91">
        <v>58</v>
      </c>
      <c r="B673" s="93"/>
      <c r="C673" s="114"/>
      <c r="D673" s="159">
        <v>3793</v>
      </c>
      <c r="E673" s="159">
        <v>3295</v>
      </c>
      <c r="F673" s="159">
        <v>3001</v>
      </c>
      <c r="G673" s="159">
        <v>2689</v>
      </c>
      <c r="H673" s="161">
        <v>1941</v>
      </c>
      <c r="J673" s="107"/>
      <c r="K673" s="107"/>
      <c r="L673" s="107"/>
      <c r="M673" s="107"/>
      <c r="N673" s="107"/>
      <c r="O673" s="107"/>
    </row>
    <row r="674" spans="1:15" ht="15" hidden="1" x14ac:dyDescent="0.2">
      <c r="A674" s="91">
        <v>59</v>
      </c>
      <c r="B674" s="93"/>
      <c r="C674" s="114"/>
      <c r="D674" s="159">
        <v>3918</v>
      </c>
      <c r="E674" s="159">
        <v>3410</v>
      </c>
      <c r="F674" s="159">
        <v>3090</v>
      </c>
      <c r="G674" s="159">
        <v>2796</v>
      </c>
      <c r="H674" s="161">
        <v>2021</v>
      </c>
      <c r="J674" s="107"/>
      <c r="K674" s="107"/>
      <c r="L674" s="107"/>
      <c r="M674" s="107"/>
      <c r="N674" s="107"/>
      <c r="O674" s="107"/>
    </row>
    <row r="675" spans="1:15" ht="15" hidden="1" x14ac:dyDescent="0.2">
      <c r="A675" s="91">
        <v>60</v>
      </c>
      <c r="B675" s="93"/>
      <c r="C675" s="114"/>
      <c r="D675" s="159">
        <v>4052</v>
      </c>
      <c r="E675" s="159">
        <v>3517</v>
      </c>
      <c r="F675" s="159">
        <v>3179</v>
      </c>
      <c r="G675" s="159">
        <v>2903</v>
      </c>
      <c r="H675" s="161">
        <v>2093</v>
      </c>
      <c r="J675" s="107"/>
      <c r="K675" s="107"/>
      <c r="L675" s="107"/>
      <c r="M675" s="107"/>
      <c r="N675" s="107"/>
      <c r="O675" s="107"/>
    </row>
    <row r="676" spans="1:15" ht="15" hidden="1" x14ac:dyDescent="0.2">
      <c r="A676" s="91">
        <v>61</v>
      </c>
      <c r="B676" s="93"/>
      <c r="C676" s="114"/>
      <c r="D676" s="159">
        <v>4203</v>
      </c>
      <c r="E676" s="159">
        <v>3651</v>
      </c>
      <c r="F676" s="159">
        <v>3321</v>
      </c>
      <c r="G676" s="159">
        <v>3010</v>
      </c>
      <c r="H676" s="161">
        <v>2173</v>
      </c>
      <c r="J676" s="107"/>
      <c r="K676" s="107"/>
      <c r="L676" s="107"/>
      <c r="M676" s="107"/>
      <c r="N676" s="107"/>
      <c r="O676" s="107"/>
    </row>
    <row r="677" spans="1:15" ht="15" hidden="1" x14ac:dyDescent="0.2">
      <c r="A677" s="91">
        <v>62</v>
      </c>
      <c r="B677" s="93"/>
      <c r="C677" s="114"/>
      <c r="D677" s="159">
        <v>4390</v>
      </c>
      <c r="E677" s="159">
        <v>3820</v>
      </c>
      <c r="F677" s="159">
        <v>3482</v>
      </c>
      <c r="G677" s="159">
        <v>3152</v>
      </c>
      <c r="H677" s="161">
        <v>2271</v>
      </c>
      <c r="J677" s="107"/>
      <c r="K677" s="107"/>
      <c r="L677" s="107"/>
      <c r="M677" s="107"/>
      <c r="N677" s="107"/>
      <c r="O677" s="107"/>
    </row>
    <row r="678" spans="1:15" ht="15" hidden="1" x14ac:dyDescent="0.2">
      <c r="A678" s="91">
        <v>63</v>
      </c>
      <c r="B678" s="93"/>
      <c r="C678" s="114"/>
      <c r="D678" s="159">
        <v>4621</v>
      </c>
      <c r="E678" s="159">
        <v>4016</v>
      </c>
      <c r="F678" s="159">
        <v>3660</v>
      </c>
      <c r="G678" s="159">
        <v>3312</v>
      </c>
      <c r="H678" s="161">
        <v>2386</v>
      </c>
      <c r="J678" s="107"/>
      <c r="K678" s="107"/>
      <c r="L678" s="107"/>
      <c r="M678" s="107"/>
      <c r="N678" s="107"/>
      <c r="O678" s="107"/>
    </row>
    <row r="679" spans="1:15" ht="15" hidden="1" x14ac:dyDescent="0.2">
      <c r="A679" s="91">
        <v>64</v>
      </c>
      <c r="B679" s="93"/>
      <c r="C679" s="114"/>
      <c r="D679" s="159">
        <v>4880</v>
      </c>
      <c r="E679" s="159">
        <v>4247</v>
      </c>
      <c r="F679" s="159">
        <v>3873</v>
      </c>
      <c r="G679" s="159">
        <v>3499</v>
      </c>
      <c r="H679" s="161">
        <v>2520</v>
      </c>
      <c r="J679" s="107"/>
      <c r="K679" s="107"/>
      <c r="L679" s="107"/>
      <c r="M679" s="107"/>
      <c r="N679" s="107"/>
      <c r="O679" s="107"/>
    </row>
    <row r="680" spans="1:15" ht="15" hidden="1" x14ac:dyDescent="0.2">
      <c r="A680" s="91">
        <v>65</v>
      </c>
      <c r="B680" s="93"/>
      <c r="C680" s="114"/>
      <c r="D680" s="159">
        <v>5200</v>
      </c>
      <c r="E680" s="159">
        <v>4523</v>
      </c>
      <c r="F680" s="159">
        <v>4123</v>
      </c>
      <c r="G680" s="159">
        <v>3767</v>
      </c>
      <c r="H680" s="161">
        <v>2698</v>
      </c>
      <c r="J680" s="107"/>
      <c r="K680" s="107"/>
      <c r="L680" s="107"/>
      <c r="M680" s="107"/>
      <c r="N680" s="107"/>
      <c r="O680" s="107"/>
    </row>
    <row r="681" spans="1:15" ht="15" hidden="1" x14ac:dyDescent="0.2">
      <c r="A681" s="91">
        <v>66</v>
      </c>
      <c r="B681" s="93"/>
      <c r="C681" s="114"/>
      <c r="D681" s="159">
        <v>5574</v>
      </c>
      <c r="E681" s="159">
        <v>4853</v>
      </c>
      <c r="F681" s="159">
        <v>4425</v>
      </c>
      <c r="G681" s="159">
        <v>4069</v>
      </c>
      <c r="H681" s="161">
        <v>2912</v>
      </c>
      <c r="J681" s="107"/>
      <c r="K681" s="107"/>
      <c r="L681" s="107"/>
      <c r="M681" s="107"/>
      <c r="N681" s="107"/>
      <c r="O681" s="107"/>
    </row>
    <row r="682" spans="1:15" ht="15" hidden="1" x14ac:dyDescent="0.2">
      <c r="A682" s="91">
        <v>67</v>
      </c>
      <c r="B682" s="93"/>
      <c r="C682" s="114"/>
      <c r="D682" s="159">
        <v>6019</v>
      </c>
      <c r="E682" s="159">
        <v>5236</v>
      </c>
      <c r="F682" s="159">
        <v>4773</v>
      </c>
      <c r="G682" s="159">
        <v>4390</v>
      </c>
      <c r="H682" s="161">
        <v>3143</v>
      </c>
      <c r="J682" s="107"/>
      <c r="K682" s="107"/>
      <c r="L682" s="107"/>
      <c r="M682" s="107"/>
      <c r="N682" s="107"/>
      <c r="O682" s="107"/>
    </row>
    <row r="683" spans="1:15" ht="15" hidden="1" x14ac:dyDescent="0.2">
      <c r="A683" s="91">
        <v>68</v>
      </c>
      <c r="B683" s="93"/>
      <c r="C683" s="114"/>
      <c r="D683" s="159">
        <v>6536</v>
      </c>
      <c r="E683" s="159">
        <v>5681</v>
      </c>
      <c r="F683" s="159">
        <v>5182</v>
      </c>
      <c r="G683" s="159">
        <v>4764</v>
      </c>
      <c r="H683" s="161">
        <v>3410</v>
      </c>
      <c r="J683" s="107"/>
      <c r="K683" s="107"/>
      <c r="L683" s="107"/>
      <c r="M683" s="107"/>
      <c r="N683" s="107"/>
      <c r="O683" s="107"/>
    </row>
    <row r="684" spans="1:15" ht="15" hidden="1" x14ac:dyDescent="0.2">
      <c r="A684" s="91">
        <v>69</v>
      </c>
      <c r="B684" s="93"/>
      <c r="C684" s="114"/>
      <c r="D684" s="159">
        <v>7132</v>
      </c>
      <c r="E684" s="159">
        <v>6197</v>
      </c>
      <c r="F684" s="159">
        <v>5654</v>
      </c>
      <c r="G684" s="159">
        <v>5200</v>
      </c>
      <c r="H684" s="161">
        <v>3722</v>
      </c>
      <c r="J684" s="107"/>
      <c r="K684" s="107"/>
      <c r="L684" s="107"/>
      <c r="M684" s="107"/>
      <c r="N684" s="107"/>
      <c r="O684" s="107"/>
    </row>
    <row r="685" spans="1:15" ht="15" hidden="1" x14ac:dyDescent="0.2">
      <c r="A685" s="91">
        <v>70</v>
      </c>
      <c r="B685" s="93"/>
      <c r="C685" s="114"/>
      <c r="D685" s="159">
        <v>7818</v>
      </c>
      <c r="E685" s="159">
        <v>6803</v>
      </c>
      <c r="F685" s="159">
        <v>6144</v>
      </c>
      <c r="G685" s="159">
        <v>5788</v>
      </c>
      <c r="H685" s="161">
        <v>4114</v>
      </c>
      <c r="J685" s="107"/>
      <c r="K685" s="107"/>
      <c r="L685" s="107"/>
      <c r="M685" s="107"/>
      <c r="N685" s="107"/>
      <c r="O685" s="107"/>
    </row>
    <row r="686" spans="1:15" ht="15" hidden="1" x14ac:dyDescent="0.2">
      <c r="A686" s="91">
        <v>71</v>
      </c>
      <c r="B686" s="93"/>
      <c r="C686" s="114"/>
      <c r="D686" s="159">
        <v>8611</v>
      </c>
      <c r="E686" s="159">
        <v>7489</v>
      </c>
      <c r="F686" s="159">
        <v>6830</v>
      </c>
      <c r="G686" s="159">
        <v>6376</v>
      </c>
      <c r="H686" s="161">
        <v>4532</v>
      </c>
      <c r="J686" s="107"/>
      <c r="K686" s="107"/>
      <c r="L686" s="107"/>
      <c r="M686" s="107"/>
      <c r="N686" s="107"/>
      <c r="O686" s="107"/>
    </row>
    <row r="687" spans="1:15" ht="15" hidden="1" x14ac:dyDescent="0.2">
      <c r="A687" s="91">
        <v>72</v>
      </c>
      <c r="B687" s="93"/>
      <c r="C687" s="114"/>
      <c r="D687" s="159">
        <v>9528</v>
      </c>
      <c r="E687" s="159">
        <v>8290</v>
      </c>
      <c r="F687" s="159">
        <v>7551</v>
      </c>
      <c r="G687" s="159">
        <v>7061</v>
      </c>
      <c r="H687" s="161">
        <v>5022</v>
      </c>
      <c r="J687" s="107"/>
      <c r="K687" s="107"/>
      <c r="L687" s="107"/>
      <c r="M687" s="107"/>
      <c r="N687" s="107"/>
      <c r="O687" s="107"/>
    </row>
    <row r="688" spans="1:15" ht="15" hidden="1" x14ac:dyDescent="0.2">
      <c r="A688" s="91">
        <v>73</v>
      </c>
      <c r="B688" s="93"/>
      <c r="C688" s="114"/>
      <c r="D688" s="159">
        <v>10587</v>
      </c>
      <c r="E688" s="159">
        <v>9198</v>
      </c>
      <c r="F688" s="159">
        <v>8388</v>
      </c>
      <c r="G688" s="159">
        <v>7836</v>
      </c>
      <c r="H688" s="161">
        <v>5574</v>
      </c>
      <c r="J688" s="107"/>
      <c r="K688" s="107"/>
      <c r="L688" s="107"/>
      <c r="M688" s="107"/>
      <c r="N688" s="107"/>
      <c r="O688" s="107"/>
    </row>
    <row r="689" spans="1:15" ht="15" hidden="1" x14ac:dyDescent="0.2">
      <c r="A689" s="91">
        <v>74</v>
      </c>
      <c r="B689" s="93"/>
      <c r="C689" s="114"/>
      <c r="D689" s="159">
        <v>11798</v>
      </c>
      <c r="E689" s="159">
        <v>10258</v>
      </c>
      <c r="F689" s="159">
        <v>9350</v>
      </c>
      <c r="G689" s="159">
        <v>8735</v>
      </c>
      <c r="H689" s="161">
        <v>6215</v>
      </c>
      <c r="J689" s="107"/>
      <c r="K689" s="107"/>
      <c r="L689" s="107"/>
      <c r="M689" s="107"/>
      <c r="N689" s="107"/>
      <c r="O689" s="107"/>
    </row>
    <row r="690" spans="1:15" ht="15" hidden="1" x14ac:dyDescent="0.2">
      <c r="A690" s="91">
        <v>75</v>
      </c>
      <c r="B690" s="93"/>
      <c r="C690" s="114"/>
      <c r="D690" s="159">
        <v>13196</v>
      </c>
      <c r="E690" s="159">
        <v>11469</v>
      </c>
      <c r="F690" s="159">
        <v>10418</v>
      </c>
      <c r="G690" s="159">
        <v>9830</v>
      </c>
      <c r="H690" s="161">
        <v>6972</v>
      </c>
      <c r="J690" s="107"/>
      <c r="K690" s="107"/>
      <c r="L690" s="107"/>
      <c r="M690" s="107"/>
      <c r="N690" s="107"/>
      <c r="O690" s="107"/>
    </row>
    <row r="691" spans="1:15" ht="15" hidden="1" x14ac:dyDescent="0.2">
      <c r="A691" s="91">
        <v>76</v>
      </c>
      <c r="B691" s="93"/>
      <c r="C691" s="114"/>
      <c r="D691" s="159">
        <v>14790</v>
      </c>
      <c r="E691" s="159">
        <v>12867</v>
      </c>
      <c r="F691" s="159">
        <v>11718</v>
      </c>
      <c r="G691" s="159">
        <v>11024</v>
      </c>
      <c r="H691" s="161">
        <v>7818</v>
      </c>
      <c r="J691" s="107"/>
      <c r="K691" s="107"/>
      <c r="L691" s="107"/>
      <c r="M691" s="107"/>
      <c r="N691" s="107"/>
      <c r="O691" s="107"/>
    </row>
    <row r="692" spans="1:15" ht="15" hidden="1" x14ac:dyDescent="0.2">
      <c r="A692" s="91">
        <v>77</v>
      </c>
      <c r="B692" s="93"/>
      <c r="C692" s="114"/>
      <c r="D692" s="159">
        <v>16616</v>
      </c>
      <c r="E692" s="159">
        <v>14443</v>
      </c>
      <c r="F692" s="159">
        <v>13170</v>
      </c>
      <c r="G692" s="159">
        <v>12377</v>
      </c>
      <c r="H692" s="161">
        <v>8780</v>
      </c>
      <c r="J692" s="107"/>
      <c r="K692" s="107"/>
      <c r="L692" s="107"/>
      <c r="M692" s="107"/>
      <c r="N692" s="107"/>
      <c r="O692" s="107"/>
    </row>
    <row r="693" spans="1:15" ht="15" hidden="1" x14ac:dyDescent="0.2">
      <c r="A693" s="91">
        <v>78</v>
      </c>
      <c r="B693" s="93"/>
      <c r="C693" s="114"/>
      <c r="D693" s="159">
        <v>18673</v>
      </c>
      <c r="E693" s="159">
        <v>16233</v>
      </c>
      <c r="F693" s="159">
        <v>14799</v>
      </c>
      <c r="G693" s="159">
        <v>13909</v>
      </c>
      <c r="H693" s="161">
        <v>9866</v>
      </c>
      <c r="J693" s="107"/>
      <c r="K693" s="107"/>
      <c r="L693" s="107"/>
      <c r="M693" s="107"/>
      <c r="N693" s="107"/>
      <c r="O693" s="107"/>
    </row>
    <row r="694" spans="1:15" ht="15" hidden="1" x14ac:dyDescent="0.2">
      <c r="A694" s="91">
        <v>79</v>
      </c>
      <c r="B694" s="93"/>
      <c r="C694" s="114"/>
      <c r="D694" s="159">
        <v>20979</v>
      </c>
      <c r="E694" s="159">
        <v>18236</v>
      </c>
      <c r="F694" s="159">
        <v>16633</v>
      </c>
      <c r="G694" s="159">
        <v>15627</v>
      </c>
      <c r="H694" s="161">
        <v>11086</v>
      </c>
      <c r="J694" s="107"/>
      <c r="K694" s="107"/>
      <c r="L694" s="107"/>
      <c r="M694" s="107"/>
      <c r="N694" s="107"/>
      <c r="O694" s="107"/>
    </row>
    <row r="695" spans="1:15" ht="15" hidden="1" x14ac:dyDescent="0.2">
      <c r="A695" s="91">
        <v>80</v>
      </c>
      <c r="B695" s="158" t="s">
        <v>198</v>
      </c>
      <c r="C695" s="114"/>
      <c r="D695" s="159">
        <v>23739</v>
      </c>
      <c r="E695" s="159">
        <v>20640</v>
      </c>
      <c r="F695" s="159">
        <v>18815</v>
      </c>
      <c r="G695" s="159">
        <v>17684</v>
      </c>
      <c r="H695" s="161">
        <v>12546</v>
      </c>
      <c r="J695" s="107"/>
      <c r="K695" s="107"/>
      <c r="L695" s="107"/>
      <c r="M695" s="107"/>
      <c r="N695" s="107"/>
      <c r="O695" s="107"/>
    </row>
    <row r="696" spans="1:15" ht="15" hidden="1" x14ac:dyDescent="0.2">
      <c r="A696" s="91">
        <v>1</v>
      </c>
      <c r="B696" s="93" t="s">
        <v>13</v>
      </c>
      <c r="C696" s="114">
        <v>604</v>
      </c>
      <c r="D696" s="159">
        <v>703</v>
      </c>
      <c r="E696" s="159">
        <v>605</v>
      </c>
      <c r="F696" s="159">
        <v>552</v>
      </c>
      <c r="G696" s="159">
        <v>329</v>
      </c>
      <c r="H696" s="161">
        <v>276</v>
      </c>
      <c r="J696" s="107"/>
      <c r="K696" s="107"/>
      <c r="L696" s="107"/>
      <c r="M696" s="107"/>
      <c r="N696" s="107"/>
      <c r="O696" s="107"/>
    </row>
    <row r="697" spans="1:15" ht="15" hidden="1" x14ac:dyDescent="0.2">
      <c r="A697" s="91">
        <v>2</v>
      </c>
      <c r="B697" s="93" t="s">
        <v>1</v>
      </c>
      <c r="C697" s="114">
        <v>991</v>
      </c>
      <c r="D697" s="159">
        <v>1184</v>
      </c>
      <c r="E697" s="159">
        <v>1024</v>
      </c>
      <c r="F697" s="159">
        <v>935</v>
      </c>
      <c r="G697" s="159">
        <v>490</v>
      </c>
      <c r="H697" s="161">
        <v>436</v>
      </c>
      <c r="J697" s="107"/>
      <c r="K697" s="107"/>
      <c r="L697" s="107"/>
      <c r="M697" s="107"/>
      <c r="N697" s="107"/>
      <c r="O697" s="107"/>
    </row>
    <row r="698" spans="1:15" ht="15" hidden="1" x14ac:dyDescent="0.2">
      <c r="A698" s="91">
        <v>3</v>
      </c>
      <c r="B698" s="93" t="s">
        <v>14</v>
      </c>
      <c r="C698" s="114">
        <v>1452</v>
      </c>
      <c r="D698" s="159">
        <v>1736</v>
      </c>
      <c r="E698" s="159">
        <v>1505</v>
      </c>
      <c r="F698" s="159">
        <v>1371</v>
      </c>
      <c r="G698" s="159">
        <v>703</v>
      </c>
      <c r="H698" s="161">
        <v>641</v>
      </c>
      <c r="J698" s="107"/>
      <c r="K698" s="107"/>
      <c r="L698" s="107"/>
      <c r="M698" s="107"/>
      <c r="N698" s="107"/>
      <c r="O698" s="107"/>
    </row>
    <row r="699" spans="1:15" hidden="1" x14ac:dyDescent="0.2">
      <c r="A699" s="91">
        <v>1</v>
      </c>
      <c r="B699" s="93" t="s">
        <v>3</v>
      </c>
      <c r="C699" s="114">
        <v>225</v>
      </c>
      <c r="D699" s="94">
        <v>225</v>
      </c>
      <c r="E699" s="94">
        <v>225</v>
      </c>
      <c r="F699" s="94">
        <v>225</v>
      </c>
      <c r="G699" s="94">
        <v>225</v>
      </c>
      <c r="H699" s="95">
        <v>225</v>
      </c>
      <c r="J699" s="107"/>
      <c r="K699" s="107"/>
      <c r="L699" s="107"/>
      <c r="M699" s="107"/>
      <c r="N699" s="107"/>
      <c r="O699" s="107"/>
    </row>
    <row r="700" spans="1:15" hidden="1" x14ac:dyDescent="0.2">
      <c r="A700" s="91">
        <v>1</v>
      </c>
      <c r="B700" s="93" t="s">
        <v>2</v>
      </c>
      <c r="C700" s="114">
        <v>250</v>
      </c>
      <c r="D700" s="94">
        <v>300</v>
      </c>
      <c r="E700" s="94">
        <v>300</v>
      </c>
      <c r="F700" s="94">
        <v>300</v>
      </c>
      <c r="G700" s="94">
        <v>300</v>
      </c>
      <c r="H700" s="95">
        <v>300</v>
      </c>
      <c r="J700" s="107"/>
      <c r="K700" s="107"/>
      <c r="L700" s="107"/>
      <c r="M700" s="107"/>
      <c r="N700" s="107"/>
      <c r="O700" s="107"/>
    </row>
    <row r="701" spans="1:15" hidden="1" x14ac:dyDescent="0.2">
      <c r="A701" s="91"/>
      <c r="H701" s="97"/>
    </row>
    <row r="702" spans="1:15" ht="18" hidden="1" x14ac:dyDescent="0.25">
      <c r="A702" s="325" t="s">
        <v>35</v>
      </c>
      <c r="B702" s="326"/>
      <c r="C702" s="326"/>
      <c r="D702" s="326"/>
      <c r="E702" s="326"/>
      <c r="F702" s="326"/>
      <c r="G702" s="326"/>
      <c r="H702" s="327"/>
    </row>
    <row r="703" spans="1:15" hidden="1" x14ac:dyDescent="0.2">
      <c r="A703" s="328" t="s">
        <v>0</v>
      </c>
      <c r="B703" s="329"/>
      <c r="C703" s="329"/>
      <c r="D703" s="329"/>
      <c r="E703" s="329"/>
      <c r="F703" s="329"/>
      <c r="G703" s="329"/>
      <c r="H703" s="90"/>
    </row>
    <row r="704" spans="1:15" hidden="1" x14ac:dyDescent="0.2">
      <c r="A704" s="91" t="s">
        <v>4</v>
      </c>
      <c r="B704" s="92" t="s">
        <v>4</v>
      </c>
      <c r="C704" s="155" t="s">
        <v>75</v>
      </c>
      <c r="D704" s="154" t="s">
        <v>76</v>
      </c>
      <c r="E704" s="154" t="s">
        <v>77</v>
      </c>
      <c r="F704" s="154" t="s">
        <v>78</v>
      </c>
      <c r="G704" s="154" t="s">
        <v>79</v>
      </c>
      <c r="H704" s="90" t="s">
        <v>80</v>
      </c>
    </row>
    <row r="705" spans="1:8" hidden="1" x14ac:dyDescent="0.2">
      <c r="A705" s="91">
        <v>18</v>
      </c>
      <c r="B705" s="93"/>
      <c r="C705" s="114">
        <f t="shared" ref="C705:H714" si="122">+C633*$L$2</f>
        <v>702.78000000000009</v>
      </c>
      <c r="D705" s="94">
        <f t="shared" si="122"/>
        <v>726.63</v>
      </c>
      <c r="E705" s="94">
        <f t="shared" si="122"/>
        <v>632.29000000000008</v>
      </c>
      <c r="F705" s="94">
        <f t="shared" si="122"/>
        <v>575.58000000000004</v>
      </c>
      <c r="G705" s="94">
        <f t="shared" si="122"/>
        <v>443.61</v>
      </c>
      <c r="H705" s="95">
        <f t="shared" si="122"/>
        <v>344.5</v>
      </c>
    </row>
    <row r="706" spans="1:8" hidden="1" x14ac:dyDescent="0.2">
      <c r="A706" s="91">
        <v>19</v>
      </c>
      <c r="B706" s="93"/>
      <c r="C706" s="114">
        <f t="shared" si="122"/>
        <v>779.63</v>
      </c>
      <c r="D706" s="94">
        <f t="shared" si="122"/>
        <v>740.94</v>
      </c>
      <c r="E706" s="94">
        <f t="shared" si="122"/>
        <v>641.83000000000004</v>
      </c>
      <c r="F706" s="94">
        <f t="shared" si="122"/>
        <v>585.12</v>
      </c>
      <c r="G706" s="94">
        <f t="shared" si="122"/>
        <v>453.15000000000003</v>
      </c>
      <c r="H706" s="95">
        <f t="shared" si="122"/>
        <v>349.27000000000004</v>
      </c>
    </row>
    <row r="707" spans="1:8" hidden="1" x14ac:dyDescent="0.2">
      <c r="A707" s="91">
        <v>20</v>
      </c>
      <c r="B707" s="93"/>
      <c r="C707" s="114">
        <f t="shared" si="122"/>
        <v>902.06000000000006</v>
      </c>
      <c r="D707" s="94">
        <f t="shared" si="122"/>
        <v>750.48</v>
      </c>
      <c r="E707" s="94">
        <f t="shared" si="122"/>
        <v>651.37</v>
      </c>
      <c r="F707" s="94">
        <f t="shared" si="122"/>
        <v>594.66000000000008</v>
      </c>
      <c r="G707" s="94">
        <f t="shared" si="122"/>
        <v>462.69</v>
      </c>
      <c r="H707" s="95">
        <f t="shared" si="122"/>
        <v>358.81</v>
      </c>
    </row>
    <row r="708" spans="1:8" hidden="1" x14ac:dyDescent="0.2">
      <c r="A708" s="91">
        <v>21</v>
      </c>
      <c r="B708" s="93"/>
      <c r="C708" s="114">
        <f t="shared" si="122"/>
        <v>997.99</v>
      </c>
      <c r="D708" s="94">
        <f t="shared" si="122"/>
        <v>764.79000000000008</v>
      </c>
      <c r="E708" s="94">
        <f t="shared" si="122"/>
        <v>665.68000000000006</v>
      </c>
      <c r="F708" s="94">
        <f t="shared" si="122"/>
        <v>604.20000000000005</v>
      </c>
      <c r="G708" s="94">
        <f t="shared" si="122"/>
        <v>476.47</v>
      </c>
      <c r="H708" s="95">
        <f t="shared" si="122"/>
        <v>363.58000000000004</v>
      </c>
    </row>
    <row r="709" spans="1:8" hidden="1" x14ac:dyDescent="0.2">
      <c r="A709" s="91">
        <v>22</v>
      </c>
      <c r="B709" s="93"/>
      <c r="C709" s="114">
        <f t="shared" si="122"/>
        <v>1125.19</v>
      </c>
      <c r="D709" s="94">
        <f t="shared" si="122"/>
        <v>778.57</v>
      </c>
      <c r="E709" s="94">
        <f t="shared" si="122"/>
        <v>674.69</v>
      </c>
      <c r="F709" s="94">
        <f t="shared" si="122"/>
        <v>617.98</v>
      </c>
      <c r="G709" s="94">
        <f t="shared" si="122"/>
        <v>486.01000000000005</v>
      </c>
      <c r="H709" s="95">
        <f t="shared" si="122"/>
        <v>372.59000000000003</v>
      </c>
    </row>
    <row r="710" spans="1:8" hidden="1" x14ac:dyDescent="0.2">
      <c r="A710" s="91">
        <v>23</v>
      </c>
      <c r="B710" s="93"/>
      <c r="C710" s="114">
        <f t="shared" si="122"/>
        <v>1304.3300000000002</v>
      </c>
      <c r="D710" s="94">
        <f t="shared" si="122"/>
        <v>788.11</v>
      </c>
      <c r="E710" s="94">
        <f t="shared" si="122"/>
        <v>689</v>
      </c>
      <c r="F710" s="94">
        <f t="shared" si="122"/>
        <v>627.52</v>
      </c>
      <c r="G710" s="94">
        <f t="shared" si="122"/>
        <v>495.55</v>
      </c>
      <c r="H710" s="95">
        <f t="shared" si="122"/>
        <v>377.36</v>
      </c>
    </row>
    <row r="711" spans="1:8" hidden="1" x14ac:dyDescent="0.2">
      <c r="A711" s="91">
        <v>24</v>
      </c>
      <c r="B711" s="93"/>
      <c r="C711" s="114">
        <f t="shared" si="122"/>
        <v>1428.3500000000001</v>
      </c>
      <c r="D711" s="94">
        <f t="shared" si="122"/>
        <v>802.42000000000007</v>
      </c>
      <c r="E711" s="94">
        <f t="shared" si="122"/>
        <v>698.54000000000008</v>
      </c>
      <c r="F711" s="94">
        <f t="shared" si="122"/>
        <v>637.06000000000006</v>
      </c>
      <c r="G711" s="94">
        <f t="shared" si="122"/>
        <v>505.09000000000003</v>
      </c>
      <c r="H711" s="95">
        <f t="shared" si="122"/>
        <v>386.90000000000003</v>
      </c>
    </row>
    <row r="712" spans="1:8" hidden="1" x14ac:dyDescent="0.2">
      <c r="A712" s="91">
        <v>25</v>
      </c>
      <c r="B712" s="93"/>
      <c r="C712" s="114">
        <f t="shared" si="122"/>
        <v>1688.0500000000002</v>
      </c>
      <c r="D712" s="94">
        <f t="shared" si="122"/>
        <v>816.2</v>
      </c>
      <c r="E712" s="94">
        <f t="shared" si="122"/>
        <v>708.08</v>
      </c>
      <c r="F712" s="94">
        <f t="shared" si="122"/>
        <v>646.6</v>
      </c>
      <c r="G712" s="94">
        <f t="shared" si="122"/>
        <v>514.63</v>
      </c>
      <c r="H712" s="95">
        <f t="shared" si="122"/>
        <v>391.67</v>
      </c>
    </row>
    <row r="713" spans="1:8" hidden="1" x14ac:dyDescent="0.2">
      <c r="A713" s="91">
        <v>26</v>
      </c>
      <c r="B713" s="93"/>
      <c r="C713" s="114">
        <f t="shared" si="122"/>
        <v>1779.74</v>
      </c>
      <c r="D713" s="94">
        <f t="shared" si="122"/>
        <v>830.51</v>
      </c>
      <c r="E713" s="94">
        <f t="shared" si="122"/>
        <v>721.86</v>
      </c>
      <c r="F713" s="94">
        <f t="shared" si="122"/>
        <v>656.14</v>
      </c>
      <c r="G713" s="94">
        <f t="shared" si="122"/>
        <v>523.64</v>
      </c>
      <c r="H713" s="95">
        <f t="shared" si="122"/>
        <v>401.21000000000004</v>
      </c>
    </row>
    <row r="714" spans="1:8" hidden="1" x14ac:dyDescent="0.2">
      <c r="A714" s="91">
        <v>27</v>
      </c>
      <c r="B714" s="93"/>
      <c r="C714" s="114">
        <f t="shared" si="122"/>
        <v>2003.4</v>
      </c>
      <c r="D714" s="94">
        <f t="shared" si="122"/>
        <v>840.05000000000007</v>
      </c>
      <c r="E714" s="94">
        <f t="shared" si="122"/>
        <v>731.40000000000009</v>
      </c>
      <c r="F714" s="94">
        <f t="shared" si="122"/>
        <v>665.68000000000006</v>
      </c>
      <c r="G714" s="94">
        <f t="shared" si="122"/>
        <v>537.95000000000005</v>
      </c>
      <c r="H714" s="95">
        <f t="shared" si="122"/>
        <v>405.98</v>
      </c>
    </row>
    <row r="715" spans="1:8" hidden="1" x14ac:dyDescent="0.2">
      <c r="A715" s="91">
        <v>28</v>
      </c>
      <c r="B715" s="93"/>
      <c r="C715" s="114">
        <f t="shared" ref="C715:H724" si="123">+C643*$L$2</f>
        <v>2228.65</v>
      </c>
      <c r="D715" s="94">
        <f t="shared" si="123"/>
        <v>859.13</v>
      </c>
      <c r="E715" s="94">
        <f t="shared" si="123"/>
        <v>745.71</v>
      </c>
      <c r="F715" s="94">
        <f t="shared" si="123"/>
        <v>679.46</v>
      </c>
      <c r="G715" s="94">
        <f t="shared" si="123"/>
        <v>547.49</v>
      </c>
      <c r="H715" s="95">
        <f t="shared" si="123"/>
        <v>415.52000000000004</v>
      </c>
    </row>
    <row r="716" spans="1:8" hidden="1" x14ac:dyDescent="0.2">
      <c r="A716" s="91">
        <v>29</v>
      </c>
      <c r="B716" s="93"/>
      <c r="C716" s="114">
        <f t="shared" si="123"/>
        <v>2451.7800000000002</v>
      </c>
      <c r="D716" s="94">
        <f t="shared" si="123"/>
        <v>872.91000000000008</v>
      </c>
      <c r="E716" s="94">
        <f t="shared" si="123"/>
        <v>760.02</v>
      </c>
      <c r="F716" s="94">
        <f t="shared" si="123"/>
        <v>693.77</v>
      </c>
      <c r="G716" s="94">
        <f t="shared" si="123"/>
        <v>561.80000000000007</v>
      </c>
      <c r="H716" s="95">
        <f t="shared" si="123"/>
        <v>424.53000000000003</v>
      </c>
    </row>
    <row r="717" spans="1:8" hidden="1" x14ac:dyDescent="0.2">
      <c r="A717" s="91">
        <v>30</v>
      </c>
      <c r="B717" s="93"/>
      <c r="C717" s="114">
        <f t="shared" si="123"/>
        <v>2674.9100000000003</v>
      </c>
      <c r="D717" s="94">
        <f t="shared" si="123"/>
        <v>887.22</v>
      </c>
      <c r="E717" s="94">
        <f t="shared" si="123"/>
        <v>773.80000000000007</v>
      </c>
      <c r="F717" s="94">
        <f t="shared" si="123"/>
        <v>703.31000000000006</v>
      </c>
      <c r="G717" s="94">
        <f t="shared" si="123"/>
        <v>575.58000000000004</v>
      </c>
      <c r="H717" s="95">
        <f t="shared" si="123"/>
        <v>434.07000000000005</v>
      </c>
    </row>
    <row r="718" spans="1:8" hidden="1" x14ac:dyDescent="0.2">
      <c r="A718" s="91">
        <v>31</v>
      </c>
      <c r="B718" s="93"/>
      <c r="C718" s="114">
        <f t="shared" si="123"/>
        <v>2686.04</v>
      </c>
      <c r="D718" s="94">
        <f t="shared" si="123"/>
        <v>901.53000000000009</v>
      </c>
      <c r="E718" s="94">
        <f t="shared" si="123"/>
        <v>783.34</v>
      </c>
      <c r="F718" s="94">
        <f t="shared" si="123"/>
        <v>717.09</v>
      </c>
      <c r="G718" s="94">
        <f t="shared" si="123"/>
        <v>585.12</v>
      </c>
      <c r="H718" s="95">
        <f t="shared" si="123"/>
        <v>438.84000000000003</v>
      </c>
    </row>
    <row r="719" spans="1:8" hidden="1" x14ac:dyDescent="0.2">
      <c r="A719" s="91">
        <v>32</v>
      </c>
      <c r="B719" s="93"/>
      <c r="C719" s="114">
        <f t="shared" si="123"/>
        <v>2696.6400000000003</v>
      </c>
      <c r="D719" s="94">
        <f t="shared" si="123"/>
        <v>915.31000000000006</v>
      </c>
      <c r="E719" s="94">
        <f t="shared" si="123"/>
        <v>797.65000000000009</v>
      </c>
      <c r="F719" s="94">
        <f t="shared" si="123"/>
        <v>726.63</v>
      </c>
      <c r="G719" s="94">
        <f t="shared" si="123"/>
        <v>599.43000000000006</v>
      </c>
      <c r="H719" s="95">
        <f t="shared" si="123"/>
        <v>448.38</v>
      </c>
    </row>
    <row r="720" spans="1:8" hidden="1" x14ac:dyDescent="0.2">
      <c r="A720" s="91">
        <v>33</v>
      </c>
      <c r="B720" s="93"/>
      <c r="C720" s="114">
        <f t="shared" si="123"/>
        <v>2997.6800000000003</v>
      </c>
      <c r="D720" s="94">
        <f t="shared" si="123"/>
        <v>943.93000000000006</v>
      </c>
      <c r="E720" s="94">
        <f t="shared" si="123"/>
        <v>820.97</v>
      </c>
      <c r="F720" s="94">
        <f t="shared" si="123"/>
        <v>745.71</v>
      </c>
      <c r="G720" s="94">
        <f t="shared" si="123"/>
        <v>617.98</v>
      </c>
      <c r="H720" s="95">
        <f t="shared" si="123"/>
        <v>462.69</v>
      </c>
    </row>
    <row r="721" spans="1:8" hidden="1" x14ac:dyDescent="0.2">
      <c r="A721" s="91">
        <v>34</v>
      </c>
      <c r="B721" s="93"/>
      <c r="C721" s="114">
        <f t="shared" si="123"/>
        <v>3299.25</v>
      </c>
      <c r="D721" s="94">
        <f t="shared" si="123"/>
        <v>967.25</v>
      </c>
      <c r="E721" s="94">
        <f t="shared" si="123"/>
        <v>840.05000000000007</v>
      </c>
      <c r="F721" s="94">
        <f t="shared" si="123"/>
        <v>769.03000000000009</v>
      </c>
      <c r="G721" s="94">
        <f t="shared" si="123"/>
        <v>637.06000000000006</v>
      </c>
      <c r="H721" s="95">
        <f t="shared" si="123"/>
        <v>476.47</v>
      </c>
    </row>
    <row r="722" spans="1:8" hidden="1" x14ac:dyDescent="0.2">
      <c r="A722" s="91">
        <v>35</v>
      </c>
      <c r="B722" s="93"/>
      <c r="C722" s="114">
        <f t="shared" si="123"/>
        <v>3449.2400000000002</v>
      </c>
      <c r="D722" s="94">
        <f t="shared" si="123"/>
        <v>995.87</v>
      </c>
      <c r="E722" s="94">
        <f t="shared" si="123"/>
        <v>863.90000000000009</v>
      </c>
      <c r="F722" s="94">
        <f t="shared" si="123"/>
        <v>788.11</v>
      </c>
      <c r="G722" s="94">
        <f t="shared" si="123"/>
        <v>656.14</v>
      </c>
      <c r="H722" s="95">
        <f t="shared" si="123"/>
        <v>490.78000000000003</v>
      </c>
    </row>
    <row r="723" spans="1:8" hidden="1" x14ac:dyDescent="0.2">
      <c r="A723" s="91">
        <v>36</v>
      </c>
      <c r="B723" s="93"/>
      <c r="C723" s="114">
        <f t="shared" si="123"/>
        <v>3473.6200000000003</v>
      </c>
      <c r="D723" s="94">
        <f t="shared" si="123"/>
        <v>1019.19</v>
      </c>
      <c r="E723" s="94">
        <f t="shared" si="123"/>
        <v>887.22</v>
      </c>
      <c r="F723" s="94">
        <f t="shared" si="123"/>
        <v>807.19</v>
      </c>
      <c r="G723" s="94">
        <f t="shared" si="123"/>
        <v>674.69</v>
      </c>
      <c r="H723" s="95">
        <f t="shared" si="123"/>
        <v>500.32000000000005</v>
      </c>
    </row>
    <row r="724" spans="1:8" hidden="1" x14ac:dyDescent="0.2">
      <c r="A724" s="91">
        <v>37</v>
      </c>
      <c r="B724" s="93"/>
      <c r="C724" s="114">
        <f t="shared" si="123"/>
        <v>3909.28</v>
      </c>
      <c r="D724" s="94">
        <f t="shared" si="123"/>
        <v>1043.04</v>
      </c>
      <c r="E724" s="94">
        <f t="shared" si="123"/>
        <v>906.30000000000007</v>
      </c>
      <c r="F724" s="94">
        <f t="shared" si="123"/>
        <v>825.74</v>
      </c>
      <c r="G724" s="94">
        <f t="shared" si="123"/>
        <v>689</v>
      </c>
      <c r="H724" s="95">
        <f t="shared" si="123"/>
        <v>514.63</v>
      </c>
    </row>
    <row r="725" spans="1:8" hidden="1" x14ac:dyDescent="0.2">
      <c r="A725" s="91">
        <v>38</v>
      </c>
      <c r="B725" s="93"/>
      <c r="C725" s="114">
        <f t="shared" ref="C725:H728" si="124">+C653*$L$2</f>
        <v>4344.9400000000005</v>
      </c>
      <c r="D725" s="94">
        <f t="shared" si="124"/>
        <v>1071.1300000000001</v>
      </c>
      <c r="E725" s="94">
        <f t="shared" si="124"/>
        <v>929.62</v>
      </c>
      <c r="F725" s="94">
        <f t="shared" si="124"/>
        <v>849.59</v>
      </c>
      <c r="G725" s="94">
        <f t="shared" si="124"/>
        <v>712.85</v>
      </c>
      <c r="H725" s="95">
        <f t="shared" si="124"/>
        <v>528.41000000000008</v>
      </c>
    </row>
    <row r="726" spans="1:8" hidden="1" x14ac:dyDescent="0.2">
      <c r="A726" s="91">
        <v>39</v>
      </c>
      <c r="B726" s="93"/>
      <c r="C726" s="114">
        <f t="shared" si="124"/>
        <v>4781.13</v>
      </c>
      <c r="D726" s="94">
        <f t="shared" si="124"/>
        <v>1094.98</v>
      </c>
      <c r="E726" s="94">
        <f t="shared" si="124"/>
        <v>953.47</v>
      </c>
      <c r="F726" s="94">
        <f t="shared" si="124"/>
        <v>868.1400000000001</v>
      </c>
      <c r="G726" s="94">
        <f t="shared" si="124"/>
        <v>731.40000000000009</v>
      </c>
      <c r="H726" s="95">
        <f t="shared" si="124"/>
        <v>542.72</v>
      </c>
    </row>
    <row r="727" spans="1:8" hidden="1" x14ac:dyDescent="0.2">
      <c r="A727" s="91">
        <v>40</v>
      </c>
      <c r="B727" s="93"/>
      <c r="C727" s="114">
        <f t="shared" si="124"/>
        <v>5216.26</v>
      </c>
      <c r="D727" s="94">
        <f t="shared" si="124"/>
        <v>1123.0700000000002</v>
      </c>
      <c r="E727" s="94">
        <f t="shared" si="124"/>
        <v>976.79000000000008</v>
      </c>
      <c r="F727" s="94">
        <f t="shared" si="124"/>
        <v>887.22</v>
      </c>
      <c r="G727" s="94">
        <f t="shared" si="124"/>
        <v>750.48</v>
      </c>
      <c r="H727" s="95">
        <f t="shared" si="124"/>
        <v>557.03</v>
      </c>
    </row>
    <row r="728" spans="1:8" hidden="1" x14ac:dyDescent="0.2">
      <c r="A728" s="91">
        <v>41</v>
      </c>
      <c r="B728" s="93"/>
      <c r="C728" s="114">
        <f t="shared" si="124"/>
        <v>5698.56</v>
      </c>
      <c r="D728" s="94">
        <f t="shared" si="124"/>
        <v>1146.92</v>
      </c>
      <c r="E728" s="94">
        <f t="shared" si="124"/>
        <v>995.87</v>
      </c>
      <c r="F728" s="94">
        <f t="shared" si="124"/>
        <v>911.07</v>
      </c>
      <c r="G728" s="94">
        <f t="shared" si="124"/>
        <v>769.03000000000009</v>
      </c>
      <c r="H728" s="95">
        <f t="shared" si="124"/>
        <v>570.81000000000006</v>
      </c>
    </row>
    <row r="729" spans="1:8" hidden="1" x14ac:dyDescent="0.2">
      <c r="A729" s="91">
        <v>42</v>
      </c>
      <c r="B729" s="93"/>
      <c r="C729" s="114"/>
      <c r="D729" s="94">
        <f t="shared" ref="D729:H729" si="125">+D657*$L$2</f>
        <v>1170.24</v>
      </c>
      <c r="E729" s="94">
        <f t="shared" si="125"/>
        <v>1019.19</v>
      </c>
      <c r="F729" s="94">
        <f t="shared" si="125"/>
        <v>929.62</v>
      </c>
      <c r="G729" s="94">
        <f t="shared" si="125"/>
        <v>788.11</v>
      </c>
      <c r="H729" s="95">
        <f t="shared" si="125"/>
        <v>580.35</v>
      </c>
    </row>
    <row r="730" spans="1:8" hidden="1" x14ac:dyDescent="0.2">
      <c r="A730" s="91">
        <v>43</v>
      </c>
      <c r="B730" s="93"/>
      <c r="C730" s="114"/>
      <c r="D730" s="94">
        <f t="shared" ref="D730:H730" si="126">+D658*$L$2</f>
        <v>1217.4100000000001</v>
      </c>
      <c r="E730" s="94">
        <f t="shared" si="126"/>
        <v>1057.3500000000001</v>
      </c>
      <c r="F730" s="94">
        <f t="shared" si="126"/>
        <v>967.25</v>
      </c>
      <c r="G730" s="94">
        <f t="shared" si="126"/>
        <v>825.74</v>
      </c>
      <c r="H730" s="95">
        <f t="shared" si="126"/>
        <v>608.97</v>
      </c>
    </row>
    <row r="731" spans="1:8" hidden="1" x14ac:dyDescent="0.2">
      <c r="A731" s="91">
        <v>44</v>
      </c>
      <c r="B731" s="93"/>
      <c r="C731" s="114"/>
      <c r="D731" s="94">
        <f t="shared" ref="D731:H731" si="127">+D659*$L$2</f>
        <v>1264.5800000000002</v>
      </c>
      <c r="E731" s="94">
        <f t="shared" si="127"/>
        <v>1099.75</v>
      </c>
      <c r="F731" s="94">
        <f t="shared" si="127"/>
        <v>1005.4100000000001</v>
      </c>
      <c r="G731" s="94">
        <f t="shared" si="127"/>
        <v>859.13</v>
      </c>
      <c r="H731" s="95">
        <f t="shared" si="127"/>
        <v>632.29000000000008</v>
      </c>
    </row>
    <row r="732" spans="1:8" hidden="1" x14ac:dyDescent="0.2">
      <c r="A732" s="91">
        <v>45</v>
      </c>
      <c r="B732" s="93"/>
      <c r="C732" s="114"/>
      <c r="D732" s="94">
        <f t="shared" ref="D732:H732" si="128">+D660*$L$2</f>
        <v>1311.75</v>
      </c>
      <c r="E732" s="94">
        <f t="shared" si="128"/>
        <v>1142.1500000000001</v>
      </c>
      <c r="F732" s="94">
        <f t="shared" si="128"/>
        <v>1038.27</v>
      </c>
      <c r="G732" s="94">
        <f t="shared" si="128"/>
        <v>891.99</v>
      </c>
      <c r="H732" s="95">
        <f t="shared" si="128"/>
        <v>656.14</v>
      </c>
    </row>
    <row r="733" spans="1:8" hidden="1" x14ac:dyDescent="0.2">
      <c r="A733" s="91">
        <v>46</v>
      </c>
      <c r="B733" s="93"/>
      <c r="C733" s="114"/>
      <c r="D733" s="94">
        <f t="shared" ref="D733:H733" si="129">+D661*$L$2</f>
        <v>1358.92</v>
      </c>
      <c r="E733" s="94">
        <f t="shared" si="129"/>
        <v>1179.78</v>
      </c>
      <c r="F733" s="94">
        <f t="shared" si="129"/>
        <v>1075.9000000000001</v>
      </c>
      <c r="G733" s="94">
        <f t="shared" si="129"/>
        <v>929.62</v>
      </c>
      <c r="H733" s="95">
        <f t="shared" si="129"/>
        <v>679.46</v>
      </c>
    </row>
    <row r="734" spans="1:8" hidden="1" x14ac:dyDescent="0.2">
      <c r="A734" s="91">
        <v>47</v>
      </c>
      <c r="B734" s="93"/>
      <c r="C734" s="114"/>
      <c r="D734" s="94">
        <f t="shared" ref="D734:H734" si="130">+D662*$L$2</f>
        <v>1406.6200000000001</v>
      </c>
      <c r="E734" s="94">
        <f t="shared" si="130"/>
        <v>1222.18</v>
      </c>
      <c r="F734" s="94">
        <f t="shared" si="130"/>
        <v>1113.53</v>
      </c>
      <c r="G734" s="94">
        <f t="shared" si="130"/>
        <v>962.48</v>
      </c>
      <c r="H734" s="95">
        <f t="shared" si="130"/>
        <v>708.08</v>
      </c>
    </row>
    <row r="735" spans="1:8" hidden="1" x14ac:dyDescent="0.2">
      <c r="A735" s="91">
        <v>48</v>
      </c>
      <c r="B735" s="93"/>
      <c r="C735" s="114"/>
      <c r="D735" s="94">
        <f t="shared" ref="D735:H735" si="131">+D663*$L$2</f>
        <v>1453.79</v>
      </c>
      <c r="E735" s="94">
        <f t="shared" si="131"/>
        <v>1264.5800000000002</v>
      </c>
      <c r="F735" s="94">
        <f t="shared" si="131"/>
        <v>1151.69</v>
      </c>
      <c r="G735" s="94">
        <f t="shared" si="131"/>
        <v>1000.6400000000001</v>
      </c>
      <c r="H735" s="95">
        <f t="shared" si="131"/>
        <v>731.40000000000009</v>
      </c>
    </row>
    <row r="736" spans="1:8" hidden="1" x14ac:dyDescent="0.2">
      <c r="A736" s="91">
        <v>49</v>
      </c>
      <c r="B736" s="93"/>
      <c r="C736" s="114"/>
      <c r="D736" s="94">
        <f t="shared" ref="D736:H736" si="132">+D664*$L$2</f>
        <v>1505.73</v>
      </c>
      <c r="E736" s="94">
        <f t="shared" si="132"/>
        <v>1307.51</v>
      </c>
      <c r="F736" s="94">
        <f t="shared" si="132"/>
        <v>1194.0900000000001</v>
      </c>
      <c r="G736" s="94">
        <f t="shared" si="132"/>
        <v>1033.5</v>
      </c>
      <c r="H736" s="95">
        <f t="shared" si="132"/>
        <v>760.02</v>
      </c>
    </row>
    <row r="737" spans="1:8" hidden="1" x14ac:dyDescent="0.2">
      <c r="A737" s="91">
        <v>50</v>
      </c>
      <c r="B737" s="93"/>
      <c r="C737" s="114"/>
      <c r="D737" s="94">
        <f t="shared" ref="D737:H737" si="133">+D665*$L$2</f>
        <v>1552.9</v>
      </c>
      <c r="E737" s="94">
        <f t="shared" si="133"/>
        <v>1349.91</v>
      </c>
      <c r="F737" s="94">
        <f t="shared" si="133"/>
        <v>1231.72</v>
      </c>
      <c r="G737" s="94">
        <f t="shared" si="133"/>
        <v>1071.1300000000001</v>
      </c>
      <c r="H737" s="95">
        <f t="shared" si="133"/>
        <v>783.34</v>
      </c>
    </row>
    <row r="738" spans="1:8" hidden="1" x14ac:dyDescent="0.2">
      <c r="A738" s="91">
        <v>51</v>
      </c>
      <c r="B738" s="93"/>
      <c r="C738" s="114"/>
      <c r="D738" s="94">
        <f t="shared" ref="D738:H738" si="134">+D666*$L$2</f>
        <v>1600.0700000000002</v>
      </c>
      <c r="E738" s="94">
        <f t="shared" si="134"/>
        <v>1392.3100000000002</v>
      </c>
      <c r="F738" s="94">
        <f t="shared" si="134"/>
        <v>1269.3500000000001</v>
      </c>
      <c r="G738" s="94">
        <f t="shared" si="134"/>
        <v>1109.29</v>
      </c>
      <c r="H738" s="95">
        <f t="shared" si="134"/>
        <v>811.96</v>
      </c>
    </row>
    <row r="739" spans="1:8" hidden="1" x14ac:dyDescent="0.2">
      <c r="A739" s="91">
        <v>52</v>
      </c>
      <c r="B739" s="93"/>
      <c r="C739" s="114"/>
      <c r="D739" s="94">
        <f t="shared" ref="D739:H739" si="135">+D667*$L$2</f>
        <v>1652.01</v>
      </c>
      <c r="E739" s="94">
        <f t="shared" si="135"/>
        <v>1434.71</v>
      </c>
      <c r="F739" s="94">
        <f t="shared" si="135"/>
        <v>1311.75</v>
      </c>
      <c r="G739" s="94">
        <f t="shared" si="135"/>
        <v>1142.1500000000001</v>
      </c>
      <c r="H739" s="95">
        <f t="shared" si="135"/>
        <v>835.28000000000009</v>
      </c>
    </row>
    <row r="740" spans="1:8" hidden="1" x14ac:dyDescent="0.2">
      <c r="A740" s="91">
        <v>53</v>
      </c>
      <c r="B740" s="93"/>
      <c r="C740" s="114"/>
      <c r="D740" s="94">
        <f t="shared" ref="D740:H740" si="136">+D668*$L$2</f>
        <v>1708.19</v>
      </c>
      <c r="E740" s="94">
        <f t="shared" si="136"/>
        <v>1486.65</v>
      </c>
      <c r="F740" s="94">
        <f t="shared" si="136"/>
        <v>1354.68</v>
      </c>
      <c r="G740" s="94">
        <f t="shared" si="136"/>
        <v>1189.3200000000002</v>
      </c>
      <c r="H740" s="95">
        <f t="shared" si="136"/>
        <v>868.1400000000001</v>
      </c>
    </row>
    <row r="741" spans="1:8" hidden="1" x14ac:dyDescent="0.2">
      <c r="A741" s="91">
        <v>54</v>
      </c>
      <c r="B741" s="93"/>
      <c r="C741" s="114"/>
      <c r="D741" s="94">
        <f t="shared" ref="D741:H741" si="137">+D669*$L$2</f>
        <v>1769.67</v>
      </c>
      <c r="E741" s="94">
        <f t="shared" si="137"/>
        <v>1538.5900000000001</v>
      </c>
      <c r="F741" s="94">
        <f t="shared" si="137"/>
        <v>1401.8500000000001</v>
      </c>
      <c r="G741" s="94">
        <f t="shared" si="137"/>
        <v>1231.72</v>
      </c>
      <c r="H741" s="95">
        <f t="shared" si="137"/>
        <v>896.76</v>
      </c>
    </row>
    <row r="742" spans="1:8" hidden="1" x14ac:dyDescent="0.2">
      <c r="A742" s="91">
        <v>55</v>
      </c>
      <c r="B742" s="93"/>
      <c r="C742" s="114"/>
      <c r="D742" s="94">
        <f t="shared" ref="D742:H742" si="138">+D670*$L$2</f>
        <v>1826.38</v>
      </c>
      <c r="E742" s="94">
        <f t="shared" si="138"/>
        <v>1590.53</v>
      </c>
      <c r="F742" s="94">
        <f t="shared" si="138"/>
        <v>1449.02</v>
      </c>
      <c r="G742" s="94">
        <f t="shared" si="138"/>
        <v>1278.8900000000001</v>
      </c>
      <c r="H742" s="95">
        <f t="shared" si="138"/>
        <v>929.62</v>
      </c>
    </row>
    <row r="743" spans="1:8" hidden="1" x14ac:dyDescent="0.2">
      <c r="A743" s="91">
        <v>56</v>
      </c>
      <c r="B743" s="93"/>
      <c r="C743" s="114"/>
      <c r="D743" s="94">
        <f t="shared" ref="D743:H743" si="139">+D671*$L$2</f>
        <v>1883.0900000000001</v>
      </c>
      <c r="E743" s="94">
        <f t="shared" si="139"/>
        <v>1637.7</v>
      </c>
      <c r="F743" s="94">
        <f t="shared" si="139"/>
        <v>1496.19</v>
      </c>
      <c r="G743" s="94">
        <f t="shared" si="139"/>
        <v>1321.29</v>
      </c>
      <c r="H743" s="95">
        <f t="shared" si="139"/>
        <v>958.24</v>
      </c>
    </row>
    <row r="744" spans="1:8" hidden="1" x14ac:dyDescent="0.2">
      <c r="A744" s="91">
        <v>57</v>
      </c>
      <c r="B744" s="93"/>
      <c r="C744" s="114"/>
      <c r="D744" s="94">
        <f t="shared" ref="D744:H744" si="140">+D672*$L$2</f>
        <v>1944.5700000000002</v>
      </c>
      <c r="E744" s="94">
        <f t="shared" si="140"/>
        <v>1689.64</v>
      </c>
      <c r="F744" s="94">
        <f t="shared" si="140"/>
        <v>1538.5900000000001</v>
      </c>
      <c r="G744" s="94">
        <f t="shared" si="140"/>
        <v>1368.46</v>
      </c>
      <c r="H744" s="95">
        <f t="shared" si="140"/>
        <v>991.1</v>
      </c>
    </row>
    <row r="745" spans="1:8" hidden="1" x14ac:dyDescent="0.2">
      <c r="A745" s="91">
        <v>58</v>
      </c>
      <c r="B745" s="93"/>
      <c r="C745" s="114"/>
      <c r="D745" s="94">
        <f t="shared" ref="D745:H745" si="141">+D673*$L$2</f>
        <v>2010.2900000000002</v>
      </c>
      <c r="E745" s="94">
        <f t="shared" si="141"/>
        <v>1746.3500000000001</v>
      </c>
      <c r="F745" s="94">
        <f t="shared" si="141"/>
        <v>1590.53</v>
      </c>
      <c r="G745" s="94">
        <f t="shared" si="141"/>
        <v>1425.17</v>
      </c>
      <c r="H745" s="95">
        <f t="shared" si="141"/>
        <v>1028.73</v>
      </c>
    </row>
    <row r="746" spans="1:8" hidden="1" x14ac:dyDescent="0.2">
      <c r="A746" s="91">
        <v>59</v>
      </c>
      <c r="B746" s="93"/>
      <c r="C746" s="114"/>
      <c r="D746" s="94">
        <f t="shared" ref="D746:H746" si="142">+D674*$L$2</f>
        <v>2076.54</v>
      </c>
      <c r="E746" s="94">
        <f t="shared" si="142"/>
        <v>1807.3000000000002</v>
      </c>
      <c r="F746" s="94">
        <f t="shared" si="142"/>
        <v>1637.7</v>
      </c>
      <c r="G746" s="94">
        <f t="shared" si="142"/>
        <v>1481.88</v>
      </c>
      <c r="H746" s="95">
        <f t="shared" si="142"/>
        <v>1071.1300000000001</v>
      </c>
    </row>
    <row r="747" spans="1:8" hidden="1" x14ac:dyDescent="0.2">
      <c r="A747" s="91">
        <v>60</v>
      </c>
      <c r="B747" s="93"/>
      <c r="C747" s="114"/>
      <c r="D747" s="94">
        <f t="shared" ref="D747:H747" si="143">+D675*$L$2</f>
        <v>2147.56</v>
      </c>
      <c r="E747" s="94">
        <f t="shared" si="143"/>
        <v>1864.01</v>
      </c>
      <c r="F747" s="94">
        <f t="shared" si="143"/>
        <v>1684.8700000000001</v>
      </c>
      <c r="G747" s="94">
        <f t="shared" si="143"/>
        <v>1538.5900000000001</v>
      </c>
      <c r="H747" s="95">
        <f t="shared" si="143"/>
        <v>1109.29</v>
      </c>
    </row>
    <row r="748" spans="1:8" hidden="1" x14ac:dyDescent="0.2">
      <c r="A748" s="91">
        <v>61</v>
      </c>
      <c r="B748" s="93"/>
      <c r="C748" s="114"/>
      <c r="D748" s="94">
        <f t="shared" ref="D748:H748" si="144">+D676*$L$2</f>
        <v>2227.59</v>
      </c>
      <c r="E748" s="94">
        <f t="shared" si="144"/>
        <v>1935.0300000000002</v>
      </c>
      <c r="F748" s="94">
        <f t="shared" si="144"/>
        <v>1760.13</v>
      </c>
      <c r="G748" s="94">
        <f t="shared" si="144"/>
        <v>1595.3000000000002</v>
      </c>
      <c r="H748" s="95">
        <f t="shared" si="144"/>
        <v>1151.69</v>
      </c>
    </row>
    <row r="749" spans="1:8" hidden="1" x14ac:dyDescent="0.2">
      <c r="A749" s="91">
        <v>62</v>
      </c>
      <c r="B749" s="93"/>
      <c r="C749" s="114"/>
      <c r="D749" s="94">
        <f t="shared" ref="D749:H749" si="145">+D677*$L$2</f>
        <v>2326.7000000000003</v>
      </c>
      <c r="E749" s="94">
        <f t="shared" si="145"/>
        <v>2024.6000000000001</v>
      </c>
      <c r="F749" s="94">
        <f t="shared" si="145"/>
        <v>1845.46</v>
      </c>
      <c r="G749" s="94">
        <f t="shared" si="145"/>
        <v>1670.5600000000002</v>
      </c>
      <c r="H749" s="95">
        <f t="shared" si="145"/>
        <v>1203.6300000000001</v>
      </c>
    </row>
    <row r="750" spans="1:8" hidden="1" x14ac:dyDescent="0.2">
      <c r="A750" s="91">
        <v>63</v>
      </c>
      <c r="B750" s="93"/>
      <c r="C750" s="114"/>
      <c r="D750" s="94">
        <f t="shared" ref="D750:H750" si="146">+D678*$L$2</f>
        <v>2449.13</v>
      </c>
      <c r="E750" s="94">
        <f t="shared" si="146"/>
        <v>2128.48</v>
      </c>
      <c r="F750" s="94">
        <f t="shared" si="146"/>
        <v>1939.8000000000002</v>
      </c>
      <c r="G750" s="94">
        <f t="shared" si="146"/>
        <v>1755.3600000000001</v>
      </c>
      <c r="H750" s="95">
        <f t="shared" si="146"/>
        <v>1264.5800000000002</v>
      </c>
    </row>
    <row r="751" spans="1:8" hidden="1" x14ac:dyDescent="0.2">
      <c r="A751" s="91">
        <v>64</v>
      </c>
      <c r="B751" s="93"/>
      <c r="C751" s="114"/>
      <c r="D751" s="94">
        <f t="shared" ref="D751:H751" si="147">+D679*$L$2</f>
        <v>2586.4</v>
      </c>
      <c r="E751" s="94">
        <f t="shared" si="147"/>
        <v>2250.9100000000003</v>
      </c>
      <c r="F751" s="94">
        <f t="shared" si="147"/>
        <v>2052.69</v>
      </c>
      <c r="G751" s="94">
        <f t="shared" si="147"/>
        <v>1854.47</v>
      </c>
      <c r="H751" s="95">
        <f t="shared" si="147"/>
        <v>1335.6000000000001</v>
      </c>
    </row>
    <row r="752" spans="1:8" hidden="1" x14ac:dyDescent="0.2">
      <c r="A752" s="91">
        <v>65</v>
      </c>
      <c r="B752" s="93"/>
      <c r="C752" s="114"/>
      <c r="D752" s="94">
        <f t="shared" ref="D752:H752" si="148">+D680*$L$2</f>
        <v>2756</v>
      </c>
      <c r="E752" s="94">
        <f t="shared" si="148"/>
        <v>2397.19</v>
      </c>
      <c r="F752" s="94">
        <f t="shared" si="148"/>
        <v>2185.19</v>
      </c>
      <c r="G752" s="94">
        <f t="shared" si="148"/>
        <v>1996.51</v>
      </c>
      <c r="H752" s="95">
        <f t="shared" si="148"/>
        <v>1429.94</v>
      </c>
    </row>
    <row r="753" spans="1:8" hidden="1" x14ac:dyDescent="0.2">
      <c r="A753" s="91">
        <v>66</v>
      </c>
      <c r="B753" s="93"/>
      <c r="C753" s="114"/>
      <c r="D753" s="94">
        <f t="shared" ref="D753:H753" si="149">+D681*$L$2</f>
        <v>2954.2200000000003</v>
      </c>
      <c r="E753" s="94">
        <f t="shared" si="149"/>
        <v>2572.09</v>
      </c>
      <c r="F753" s="94">
        <f t="shared" si="149"/>
        <v>2345.25</v>
      </c>
      <c r="G753" s="94">
        <f t="shared" si="149"/>
        <v>2156.5700000000002</v>
      </c>
      <c r="H753" s="95">
        <f t="shared" si="149"/>
        <v>1543.3600000000001</v>
      </c>
    </row>
    <row r="754" spans="1:8" hidden="1" x14ac:dyDescent="0.2">
      <c r="A754" s="91">
        <v>67</v>
      </c>
      <c r="B754" s="93"/>
      <c r="C754" s="114"/>
      <c r="D754" s="94">
        <f t="shared" ref="D754:H754" si="150">+D682*$L$2</f>
        <v>3190.07</v>
      </c>
      <c r="E754" s="94">
        <f t="shared" si="150"/>
        <v>2775.08</v>
      </c>
      <c r="F754" s="94">
        <f t="shared" si="150"/>
        <v>2529.69</v>
      </c>
      <c r="G754" s="94">
        <f t="shared" si="150"/>
        <v>2326.7000000000003</v>
      </c>
      <c r="H754" s="95">
        <f t="shared" si="150"/>
        <v>1665.7900000000002</v>
      </c>
    </row>
    <row r="755" spans="1:8" hidden="1" x14ac:dyDescent="0.2">
      <c r="A755" s="91">
        <v>68</v>
      </c>
      <c r="B755" s="93"/>
      <c r="C755" s="114"/>
      <c r="D755" s="94">
        <f t="shared" ref="D755:H755" si="151">+D683*$L$2</f>
        <v>3464.0800000000004</v>
      </c>
      <c r="E755" s="94">
        <f t="shared" si="151"/>
        <v>3010.9300000000003</v>
      </c>
      <c r="F755" s="94">
        <f t="shared" si="151"/>
        <v>2746.46</v>
      </c>
      <c r="G755" s="94">
        <f t="shared" si="151"/>
        <v>2524.92</v>
      </c>
      <c r="H755" s="95">
        <f t="shared" si="151"/>
        <v>1807.3000000000002</v>
      </c>
    </row>
    <row r="756" spans="1:8" hidden="1" x14ac:dyDescent="0.2">
      <c r="A756" s="91">
        <v>69</v>
      </c>
      <c r="B756" s="93"/>
      <c r="C756" s="114"/>
      <c r="D756" s="94">
        <f t="shared" ref="D756:H756" si="152">+D684*$L$2</f>
        <v>3779.96</v>
      </c>
      <c r="E756" s="94">
        <f t="shared" si="152"/>
        <v>3284.4100000000003</v>
      </c>
      <c r="F756" s="94">
        <f t="shared" si="152"/>
        <v>2996.6200000000003</v>
      </c>
      <c r="G756" s="94">
        <f t="shared" si="152"/>
        <v>2756</v>
      </c>
      <c r="H756" s="95">
        <f t="shared" si="152"/>
        <v>1972.66</v>
      </c>
    </row>
    <row r="757" spans="1:8" hidden="1" x14ac:dyDescent="0.2">
      <c r="A757" s="91">
        <v>70</v>
      </c>
      <c r="B757" s="93"/>
      <c r="C757" s="114"/>
      <c r="D757" s="94">
        <f t="shared" ref="D757:H757" si="153">+D685*$L$2</f>
        <v>4143.54</v>
      </c>
      <c r="E757" s="94">
        <f t="shared" si="153"/>
        <v>3605.59</v>
      </c>
      <c r="F757" s="94">
        <f t="shared" si="153"/>
        <v>3256.32</v>
      </c>
      <c r="G757" s="94">
        <f t="shared" si="153"/>
        <v>3067.6400000000003</v>
      </c>
      <c r="H757" s="95">
        <f t="shared" si="153"/>
        <v>2180.42</v>
      </c>
    </row>
    <row r="758" spans="1:8" hidden="1" x14ac:dyDescent="0.2">
      <c r="A758" s="91">
        <v>71</v>
      </c>
      <c r="B758" s="93"/>
      <c r="C758" s="114"/>
      <c r="D758" s="94">
        <f t="shared" ref="D758:H758" si="154">+D686*$L$2</f>
        <v>4563.83</v>
      </c>
      <c r="E758" s="94">
        <f t="shared" si="154"/>
        <v>3969.17</v>
      </c>
      <c r="F758" s="94">
        <f t="shared" si="154"/>
        <v>3619.9</v>
      </c>
      <c r="G758" s="94">
        <f t="shared" si="154"/>
        <v>3379.28</v>
      </c>
      <c r="H758" s="95">
        <f t="shared" si="154"/>
        <v>2401.96</v>
      </c>
    </row>
    <row r="759" spans="1:8" hidden="1" x14ac:dyDescent="0.2">
      <c r="A759" s="91">
        <v>72</v>
      </c>
      <c r="B759" s="93"/>
      <c r="C759" s="114"/>
      <c r="D759" s="94">
        <f t="shared" ref="D759:H759" si="155">+D687*$L$2</f>
        <v>5049.84</v>
      </c>
      <c r="E759" s="94">
        <f t="shared" si="155"/>
        <v>4393.7</v>
      </c>
      <c r="F759" s="94">
        <f t="shared" si="155"/>
        <v>4002.03</v>
      </c>
      <c r="G759" s="94">
        <f t="shared" si="155"/>
        <v>3742.3300000000004</v>
      </c>
      <c r="H759" s="95">
        <f t="shared" si="155"/>
        <v>2661.6600000000003</v>
      </c>
    </row>
    <row r="760" spans="1:8" hidden="1" x14ac:dyDescent="0.2">
      <c r="A760" s="91">
        <v>73</v>
      </c>
      <c r="B760" s="93"/>
      <c r="C760" s="114"/>
      <c r="D760" s="94">
        <f t="shared" ref="D760:H760" si="156">+D688*$L$2</f>
        <v>5611.1100000000006</v>
      </c>
      <c r="E760" s="94">
        <f t="shared" si="156"/>
        <v>4874.9400000000005</v>
      </c>
      <c r="F760" s="94">
        <f t="shared" si="156"/>
        <v>4445.6400000000003</v>
      </c>
      <c r="G760" s="94">
        <f t="shared" si="156"/>
        <v>4153.08</v>
      </c>
      <c r="H760" s="95">
        <f t="shared" si="156"/>
        <v>2954.2200000000003</v>
      </c>
    </row>
    <row r="761" spans="1:8" hidden="1" x14ac:dyDescent="0.2">
      <c r="A761" s="91">
        <v>74</v>
      </c>
      <c r="B761" s="93"/>
      <c r="C761" s="114"/>
      <c r="D761" s="94">
        <f t="shared" ref="D761:H761" si="157">+D689*$L$2</f>
        <v>6252.9400000000005</v>
      </c>
      <c r="E761" s="94">
        <f t="shared" si="157"/>
        <v>5436.7400000000007</v>
      </c>
      <c r="F761" s="94">
        <f t="shared" si="157"/>
        <v>4955.5</v>
      </c>
      <c r="G761" s="94">
        <f t="shared" si="157"/>
        <v>4629.55</v>
      </c>
      <c r="H761" s="95">
        <f t="shared" si="157"/>
        <v>3293.9500000000003</v>
      </c>
    </row>
    <row r="762" spans="1:8" hidden="1" x14ac:dyDescent="0.2">
      <c r="A762" s="91">
        <v>75</v>
      </c>
      <c r="B762" s="93"/>
      <c r="C762" s="114"/>
      <c r="D762" s="94">
        <f t="shared" ref="D762:H762" si="158">+D690*$L$2</f>
        <v>6993.88</v>
      </c>
      <c r="E762" s="94">
        <f t="shared" si="158"/>
        <v>6078.5700000000006</v>
      </c>
      <c r="F762" s="94">
        <f t="shared" si="158"/>
        <v>5521.54</v>
      </c>
      <c r="G762" s="94">
        <f t="shared" si="158"/>
        <v>5209.9000000000005</v>
      </c>
      <c r="H762" s="95">
        <f t="shared" si="158"/>
        <v>3695.1600000000003</v>
      </c>
    </row>
    <row r="763" spans="1:8" hidden="1" x14ac:dyDescent="0.2">
      <c r="A763" s="91">
        <v>76</v>
      </c>
      <c r="B763" s="93"/>
      <c r="C763" s="114"/>
      <c r="D763" s="94">
        <f t="shared" ref="D763:H763" si="159">+D691*$L$2</f>
        <v>7838.7000000000007</v>
      </c>
      <c r="E763" s="94">
        <f t="shared" si="159"/>
        <v>6819.51</v>
      </c>
      <c r="F763" s="94">
        <f t="shared" si="159"/>
        <v>6210.54</v>
      </c>
      <c r="G763" s="94">
        <f t="shared" si="159"/>
        <v>5842.72</v>
      </c>
      <c r="H763" s="95">
        <f t="shared" si="159"/>
        <v>4143.54</v>
      </c>
    </row>
    <row r="764" spans="1:8" hidden="1" x14ac:dyDescent="0.2">
      <c r="A764" s="91">
        <v>77</v>
      </c>
      <c r="B764" s="93"/>
      <c r="C764" s="114"/>
      <c r="D764" s="94">
        <f t="shared" ref="D764:H764" si="160">+D692*$L$2</f>
        <v>8806.48</v>
      </c>
      <c r="E764" s="94">
        <f t="shared" si="160"/>
        <v>7654.79</v>
      </c>
      <c r="F764" s="94">
        <f t="shared" si="160"/>
        <v>6980.1</v>
      </c>
      <c r="G764" s="94">
        <f t="shared" si="160"/>
        <v>6559.81</v>
      </c>
      <c r="H764" s="95">
        <f t="shared" si="160"/>
        <v>4653.4000000000005</v>
      </c>
    </row>
    <row r="765" spans="1:8" hidden="1" x14ac:dyDescent="0.2">
      <c r="A765" s="91">
        <v>78</v>
      </c>
      <c r="B765" s="93"/>
      <c r="C765" s="114"/>
      <c r="D765" s="94">
        <f t="shared" ref="D765:H765" si="161">+D693*$L$2</f>
        <v>9896.69</v>
      </c>
      <c r="E765" s="94">
        <f t="shared" si="161"/>
        <v>8603.49</v>
      </c>
      <c r="F765" s="94">
        <f t="shared" si="161"/>
        <v>7843.47</v>
      </c>
      <c r="G765" s="94">
        <f t="shared" si="161"/>
        <v>7371.77</v>
      </c>
      <c r="H765" s="95">
        <f t="shared" si="161"/>
        <v>5228.9800000000005</v>
      </c>
    </row>
    <row r="766" spans="1:8" hidden="1" x14ac:dyDescent="0.2">
      <c r="A766" s="91">
        <v>79</v>
      </c>
      <c r="B766" s="93"/>
      <c r="C766" s="114"/>
      <c r="D766" s="94">
        <f t="shared" ref="D766:H766" si="162">+D694*$L$2</f>
        <v>11118.87</v>
      </c>
      <c r="E766" s="94">
        <f t="shared" si="162"/>
        <v>9665.08</v>
      </c>
      <c r="F766" s="94">
        <f t="shared" si="162"/>
        <v>8815.49</v>
      </c>
      <c r="G766" s="94">
        <f t="shared" si="162"/>
        <v>8282.3100000000013</v>
      </c>
      <c r="H766" s="95">
        <f t="shared" si="162"/>
        <v>5875.58</v>
      </c>
    </row>
    <row r="767" spans="1:8" hidden="1" x14ac:dyDescent="0.2">
      <c r="A767" s="91">
        <v>80</v>
      </c>
      <c r="B767" s="158" t="s">
        <v>198</v>
      </c>
      <c r="C767" s="114"/>
      <c r="D767" s="94">
        <f t="shared" ref="D767:H767" si="163">+D695*$L$2</f>
        <v>12581.67</v>
      </c>
      <c r="E767" s="94">
        <f t="shared" si="163"/>
        <v>10939.2</v>
      </c>
      <c r="F767" s="94">
        <f t="shared" si="163"/>
        <v>9971.9500000000007</v>
      </c>
      <c r="G767" s="94">
        <f t="shared" si="163"/>
        <v>9372.52</v>
      </c>
      <c r="H767" s="95">
        <f t="shared" si="163"/>
        <v>6649.38</v>
      </c>
    </row>
    <row r="768" spans="1:8" hidden="1" x14ac:dyDescent="0.2">
      <c r="A768" s="91">
        <v>1</v>
      </c>
      <c r="B768" s="93" t="s">
        <v>13</v>
      </c>
      <c r="C768" s="114">
        <f t="shared" ref="C768:H772" si="164">+C696*$L$2</f>
        <v>320.12</v>
      </c>
      <c r="D768" s="94">
        <f t="shared" si="164"/>
        <v>372.59000000000003</v>
      </c>
      <c r="E768" s="94">
        <f t="shared" si="164"/>
        <v>320.65000000000003</v>
      </c>
      <c r="F768" s="94">
        <f t="shared" si="164"/>
        <v>292.56</v>
      </c>
      <c r="G768" s="94">
        <f t="shared" si="164"/>
        <v>174.37</v>
      </c>
      <c r="H768" s="95">
        <f t="shared" si="164"/>
        <v>146.28</v>
      </c>
    </row>
    <row r="769" spans="1:15" hidden="1" x14ac:dyDescent="0.2">
      <c r="A769" s="91">
        <v>2</v>
      </c>
      <c r="B769" s="93" t="s">
        <v>1</v>
      </c>
      <c r="C769" s="114">
        <f t="shared" si="164"/>
        <v>525.23</v>
      </c>
      <c r="D769" s="94">
        <f t="shared" si="164"/>
        <v>627.52</v>
      </c>
      <c r="E769" s="94">
        <f t="shared" si="164"/>
        <v>542.72</v>
      </c>
      <c r="F769" s="94">
        <f t="shared" si="164"/>
        <v>495.55</v>
      </c>
      <c r="G769" s="94">
        <f t="shared" si="164"/>
        <v>259.7</v>
      </c>
      <c r="H769" s="95">
        <f t="shared" si="164"/>
        <v>231.08</v>
      </c>
    </row>
    <row r="770" spans="1:15" hidden="1" x14ac:dyDescent="0.2">
      <c r="A770" s="91">
        <v>3</v>
      </c>
      <c r="B770" s="93" t="s">
        <v>14</v>
      </c>
      <c r="C770" s="114">
        <f t="shared" si="164"/>
        <v>769.56000000000006</v>
      </c>
      <c r="D770" s="94">
        <f t="shared" si="164"/>
        <v>920.08</v>
      </c>
      <c r="E770" s="94">
        <f t="shared" si="164"/>
        <v>797.65000000000009</v>
      </c>
      <c r="F770" s="94">
        <f t="shared" si="164"/>
        <v>726.63</v>
      </c>
      <c r="G770" s="94">
        <f t="shared" si="164"/>
        <v>372.59000000000003</v>
      </c>
      <c r="H770" s="95">
        <f t="shared" si="164"/>
        <v>339.73</v>
      </c>
    </row>
    <row r="771" spans="1:15" hidden="1" x14ac:dyDescent="0.2">
      <c r="A771" s="91">
        <v>1</v>
      </c>
      <c r="B771" s="93" t="s">
        <v>3</v>
      </c>
      <c r="C771" s="114">
        <f t="shared" si="164"/>
        <v>119.25</v>
      </c>
      <c r="D771" s="94">
        <f t="shared" si="164"/>
        <v>119.25</v>
      </c>
      <c r="E771" s="94">
        <f t="shared" si="164"/>
        <v>119.25</v>
      </c>
      <c r="F771" s="94">
        <f t="shared" si="164"/>
        <v>119.25</v>
      </c>
      <c r="G771" s="94">
        <f t="shared" si="164"/>
        <v>119.25</v>
      </c>
      <c r="H771" s="95">
        <f t="shared" si="164"/>
        <v>119.25</v>
      </c>
    </row>
    <row r="772" spans="1:15" ht="13.5" hidden="1" thickBot="1" x14ac:dyDescent="0.25">
      <c r="A772" s="98">
        <v>1</v>
      </c>
      <c r="B772" s="99" t="s">
        <v>2</v>
      </c>
      <c r="C772" s="121">
        <f t="shared" si="164"/>
        <v>132.5</v>
      </c>
      <c r="D772" s="100">
        <f t="shared" si="164"/>
        <v>159</v>
      </c>
      <c r="E772" s="100">
        <f t="shared" si="164"/>
        <v>159</v>
      </c>
      <c r="F772" s="100">
        <f t="shared" si="164"/>
        <v>159</v>
      </c>
      <c r="G772" s="100">
        <f t="shared" si="164"/>
        <v>159</v>
      </c>
      <c r="H772" s="101">
        <f t="shared" si="164"/>
        <v>159</v>
      </c>
    </row>
    <row r="773" spans="1:15" ht="13.5" hidden="1" thickBot="1" x14ac:dyDescent="0.25"/>
    <row r="774" spans="1:15" ht="18" hidden="1" x14ac:dyDescent="0.25">
      <c r="A774" s="322" t="s">
        <v>252</v>
      </c>
      <c r="B774" s="323"/>
      <c r="C774" s="323"/>
      <c r="D774" s="323"/>
      <c r="E774" s="323"/>
      <c r="F774" s="323"/>
      <c r="G774" s="323"/>
      <c r="H774" s="324"/>
    </row>
    <row r="775" spans="1:15" ht="18" hidden="1" x14ac:dyDescent="0.25">
      <c r="A775" s="325" t="s">
        <v>28</v>
      </c>
      <c r="B775" s="326"/>
      <c r="C775" s="326"/>
      <c r="D775" s="326"/>
      <c r="E775" s="326"/>
      <c r="F775" s="326"/>
      <c r="G775" s="326"/>
      <c r="H775" s="327"/>
    </row>
    <row r="776" spans="1:15" hidden="1" x14ac:dyDescent="0.2">
      <c r="A776" s="328" t="s">
        <v>0</v>
      </c>
      <c r="B776" s="329"/>
      <c r="C776" s="329"/>
      <c r="D776" s="329"/>
      <c r="E776" s="329"/>
      <c r="F776" s="329"/>
      <c r="G776" s="329"/>
      <c r="H776" s="90"/>
    </row>
    <row r="777" spans="1:15" hidden="1" x14ac:dyDescent="0.2">
      <c r="A777" s="91" t="s">
        <v>4</v>
      </c>
      <c r="B777" s="92" t="s">
        <v>4</v>
      </c>
      <c r="C777" s="155" t="s">
        <v>75</v>
      </c>
      <c r="D777" s="154" t="s">
        <v>76</v>
      </c>
      <c r="E777" s="154" t="s">
        <v>77</v>
      </c>
      <c r="F777" s="154" t="s">
        <v>78</v>
      </c>
      <c r="G777" s="154" t="s">
        <v>79</v>
      </c>
      <c r="H777" s="90" t="s">
        <v>80</v>
      </c>
    </row>
    <row r="778" spans="1:15" ht="15" hidden="1" x14ac:dyDescent="0.2">
      <c r="A778" s="91">
        <v>18</v>
      </c>
      <c r="B778" s="93"/>
      <c r="C778" s="114">
        <v>1326</v>
      </c>
      <c r="D778" s="159">
        <v>1102</v>
      </c>
      <c r="E778" s="159">
        <v>1079</v>
      </c>
      <c r="F778" s="159">
        <v>1018</v>
      </c>
      <c r="G778" s="159">
        <v>928</v>
      </c>
      <c r="H778" s="161">
        <v>717</v>
      </c>
      <c r="J778" s="107"/>
      <c r="K778" s="107"/>
      <c r="L778" s="107"/>
      <c r="M778" s="107"/>
      <c r="N778" s="107"/>
      <c r="O778" s="107"/>
    </row>
    <row r="779" spans="1:15" ht="15" hidden="1" x14ac:dyDescent="0.2">
      <c r="A779" s="91">
        <v>19</v>
      </c>
      <c r="B779" s="93"/>
      <c r="C779" s="114">
        <v>1471</v>
      </c>
      <c r="D779" s="159">
        <v>1121</v>
      </c>
      <c r="E779" s="159">
        <v>1098</v>
      </c>
      <c r="F779" s="159">
        <v>1035</v>
      </c>
      <c r="G779" s="159">
        <v>944</v>
      </c>
      <c r="H779" s="161">
        <v>733</v>
      </c>
      <c r="J779" s="107"/>
      <c r="K779" s="107"/>
      <c r="L779" s="107"/>
      <c r="M779" s="107"/>
      <c r="N779" s="107"/>
      <c r="O779" s="107"/>
    </row>
    <row r="780" spans="1:15" ht="15" hidden="1" x14ac:dyDescent="0.2">
      <c r="A780" s="91">
        <v>20</v>
      </c>
      <c r="B780" s="93"/>
      <c r="C780" s="114">
        <v>1702</v>
      </c>
      <c r="D780" s="159">
        <v>1140</v>
      </c>
      <c r="E780" s="159">
        <v>1116</v>
      </c>
      <c r="F780" s="159">
        <v>1053</v>
      </c>
      <c r="G780" s="159">
        <v>960</v>
      </c>
      <c r="H780" s="161">
        <v>748</v>
      </c>
      <c r="J780" s="107"/>
      <c r="K780" s="107"/>
      <c r="L780" s="107"/>
      <c r="M780" s="107"/>
      <c r="N780" s="107"/>
      <c r="O780" s="107"/>
    </row>
    <row r="781" spans="1:15" ht="15" hidden="1" x14ac:dyDescent="0.2">
      <c r="A781" s="91">
        <v>21</v>
      </c>
      <c r="B781" s="93"/>
      <c r="C781" s="114">
        <v>1883</v>
      </c>
      <c r="D781" s="159">
        <v>1159</v>
      </c>
      <c r="E781" s="159">
        <v>1136</v>
      </c>
      <c r="F781" s="159">
        <v>1070</v>
      </c>
      <c r="G781" s="159">
        <v>976</v>
      </c>
      <c r="H781" s="161">
        <v>764</v>
      </c>
      <c r="J781" s="107"/>
      <c r="K781" s="107"/>
      <c r="L781" s="107"/>
      <c r="M781" s="107"/>
      <c r="N781" s="107"/>
      <c r="O781" s="107"/>
    </row>
    <row r="782" spans="1:15" ht="15" hidden="1" x14ac:dyDescent="0.2">
      <c r="A782" s="91">
        <v>22</v>
      </c>
      <c r="B782" s="93"/>
      <c r="C782" s="114">
        <v>2123</v>
      </c>
      <c r="D782" s="159">
        <v>1179</v>
      </c>
      <c r="E782" s="159">
        <v>1155</v>
      </c>
      <c r="F782" s="159">
        <v>1089</v>
      </c>
      <c r="G782" s="159">
        <v>993</v>
      </c>
      <c r="H782" s="161">
        <v>780</v>
      </c>
      <c r="J782" s="107"/>
      <c r="K782" s="107"/>
      <c r="L782" s="107"/>
      <c r="M782" s="107"/>
      <c r="N782" s="107"/>
      <c r="O782" s="107"/>
    </row>
    <row r="783" spans="1:15" ht="15" hidden="1" x14ac:dyDescent="0.2">
      <c r="A783" s="91">
        <v>23</v>
      </c>
      <c r="B783" s="93"/>
      <c r="C783" s="114">
        <v>2461</v>
      </c>
      <c r="D783" s="159">
        <v>1199</v>
      </c>
      <c r="E783" s="159">
        <v>1174</v>
      </c>
      <c r="F783" s="159">
        <v>1107</v>
      </c>
      <c r="G783" s="159">
        <v>1008</v>
      </c>
      <c r="H783" s="161">
        <v>797</v>
      </c>
      <c r="J783" s="107"/>
      <c r="K783" s="107"/>
      <c r="L783" s="107"/>
      <c r="M783" s="107"/>
      <c r="N783" s="107"/>
      <c r="O783" s="107"/>
    </row>
    <row r="784" spans="1:15" ht="15" hidden="1" x14ac:dyDescent="0.2">
      <c r="A784" s="91">
        <v>24</v>
      </c>
      <c r="B784" s="93"/>
      <c r="C784" s="114">
        <v>2695</v>
      </c>
      <c r="D784" s="159">
        <v>1219</v>
      </c>
      <c r="E784" s="159">
        <v>1194</v>
      </c>
      <c r="F784" s="159">
        <v>1125</v>
      </c>
      <c r="G784" s="159">
        <v>1025</v>
      </c>
      <c r="H784" s="161">
        <v>813</v>
      </c>
      <c r="J784" s="107"/>
      <c r="K784" s="107"/>
      <c r="L784" s="107"/>
      <c r="M784" s="107"/>
      <c r="N784" s="107"/>
      <c r="O784" s="107"/>
    </row>
    <row r="785" spans="1:15" ht="15" hidden="1" x14ac:dyDescent="0.2">
      <c r="A785" s="91">
        <v>25</v>
      </c>
      <c r="B785" s="93"/>
      <c r="C785" s="114">
        <v>3185</v>
      </c>
      <c r="D785" s="159">
        <v>1237</v>
      </c>
      <c r="E785" s="159">
        <v>1212</v>
      </c>
      <c r="F785" s="159">
        <v>1142</v>
      </c>
      <c r="G785" s="159">
        <v>1043</v>
      </c>
      <c r="H785" s="161">
        <v>830</v>
      </c>
      <c r="J785" s="107"/>
      <c r="K785" s="107"/>
      <c r="L785" s="107"/>
      <c r="M785" s="107"/>
      <c r="N785" s="107"/>
      <c r="O785" s="107"/>
    </row>
    <row r="786" spans="1:15" ht="15" hidden="1" x14ac:dyDescent="0.2">
      <c r="A786" s="91">
        <v>26</v>
      </c>
      <c r="B786" s="93"/>
      <c r="C786" s="114">
        <v>3358</v>
      </c>
      <c r="D786" s="159">
        <v>1257</v>
      </c>
      <c r="E786" s="159">
        <v>1232</v>
      </c>
      <c r="F786" s="159">
        <v>1161</v>
      </c>
      <c r="G786" s="159">
        <v>1058</v>
      </c>
      <c r="H786" s="161">
        <v>846</v>
      </c>
      <c r="J786" s="107"/>
      <c r="K786" s="107"/>
      <c r="L786" s="107"/>
      <c r="M786" s="107"/>
      <c r="N786" s="107"/>
      <c r="O786" s="107"/>
    </row>
    <row r="787" spans="1:15" ht="15" hidden="1" x14ac:dyDescent="0.2">
      <c r="A787" s="91">
        <v>27</v>
      </c>
      <c r="B787" s="93"/>
      <c r="C787" s="114">
        <v>3780</v>
      </c>
      <c r="D787" s="159">
        <v>1276</v>
      </c>
      <c r="E787" s="159">
        <v>1251</v>
      </c>
      <c r="F787" s="159">
        <v>1179</v>
      </c>
      <c r="G787" s="159">
        <v>1075</v>
      </c>
      <c r="H787" s="161">
        <v>863</v>
      </c>
      <c r="J787" s="107"/>
      <c r="K787" s="107"/>
      <c r="L787" s="107"/>
      <c r="M787" s="107"/>
      <c r="N787" s="107"/>
      <c r="O787" s="107"/>
    </row>
    <row r="788" spans="1:15" ht="15" hidden="1" x14ac:dyDescent="0.2">
      <c r="A788" s="91">
        <v>28</v>
      </c>
      <c r="B788" s="93"/>
      <c r="C788" s="114">
        <v>4205</v>
      </c>
      <c r="D788" s="159">
        <v>1300</v>
      </c>
      <c r="E788" s="159">
        <v>1274</v>
      </c>
      <c r="F788" s="159">
        <v>1200</v>
      </c>
      <c r="G788" s="159">
        <v>1094</v>
      </c>
      <c r="H788" s="161">
        <v>882</v>
      </c>
      <c r="J788" s="107"/>
      <c r="K788" s="107"/>
      <c r="L788" s="107"/>
      <c r="M788" s="107"/>
      <c r="N788" s="107"/>
      <c r="O788" s="107"/>
    </row>
    <row r="789" spans="1:15" ht="15" hidden="1" x14ac:dyDescent="0.2">
      <c r="A789" s="91">
        <v>29</v>
      </c>
      <c r="B789" s="93"/>
      <c r="C789" s="114">
        <v>4626</v>
      </c>
      <c r="D789" s="159">
        <v>1322</v>
      </c>
      <c r="E789" s="159">
        <v>1296</v>
      </c>
      <c r="F789" s="159">
        <v>1221</v>
      </c>
      <c r="G789" s="159">
        <v>1113</v>
      </c>
      <c r="H789" s="161">
        <v>903</v>
      </c>
      <c r="J789" s="107"/>
      <c r="K789" s="107"/>
      <c r="L789" s="107"/>
      <c r="M789" s="107"/>
      <c r="N789" s="107"/>
      <c r="O789" s="107"/>
    </row>
    <row r="790" spans="1:15" ht="15" hidden="1" x14ac:dyDescent="0.2">
      <c r="A790" s="91">
        <v>30</v>
      </c>
      <c r="B790" s="93"/>
      <c r="C790" s="114">
        <v>5047</v>
      </c>
      <c r="D790" s="159">
        <v>1346</v>
      </c>
      <c r="E790" s="159">
        <v>1318</v>
      </c>
      <c r="F790" s="159">
        <v>1242</v>
      </c>
      <c r="G790" s="159">
        <v>1133</v>
      </c>
      <c r="H790" s="161">
        <v>924</v>
      </c>
      <c r="J790" s="107"/>
      <c r="K790" s="107"/>
      <c r="L790" s="107"/>
      <c r="M790" s="107"/>
      <c r="N790" s="107"/>
      <c r="O790" s="107"/>
    </row>
    <row r="791" spans="1:15" ht="15" hidden="1" x14ac:dyDescent="0.2">
      <c r="A791" s="91">
        <v>31</v>
      </c>
      <c r="B791" s="93"/>
      <c r="C791" s="114">
        <v>5068</v>
      </c>
      <c r="D791" s="159">
        <v>1368</v>
      </c>
      <c r="E791" s="159">
        <v>1341</v>
      </c>
      <c r="F791" s="159">
        <v>1263</v>
      </c>
      <c r="G791" s="159">
        <v>1153</v>
      </c>
      <c r="H791" s="161">
        <v>944</v>
      </c>
      <c r="J791" s="107"/>
      <c r="K791" s="107"/>
      <c r="L791" s="107"/>
      <c r="M791" s="107"/>
      <c r="N791" s="107"/>
      <c r="O791" s="107"/>
    </row>
    <row r="792" spans="1:15" ht="15" hidden="1" x14ac:dyDescent="0.2">
      <c r="A792" s="91">
        <v>32</v>
      </c>
      <c r="B792" s="93"/>
      <c r="C792" s="114">
        <v>5088</v>
      </c>
      <c r="D792" s="159">
        <v>1392</v>
      </c>
      <c r="E792" s="159">
        <v>1363</v>
      </c>
      <c r="F792" s="159">
        <v>1285</v>
      </c>
      <c r="G792" s="159">
        <v>1171</v>
      </c>
      <c r="H792" s="161">
        <v>965</v>
      </c>
      <c r="J792" s="107"/>
      <c r="K792" s="107"/>
      <c r="L792" s="107"/>
      <c r="M792" s="107"/>
      <c r="N792" s="107"/>
      <c r="O792" s="107"/>
    </row>
    <row r="793" spans="1:15" ht="15" hidden="1" x14ac:dyDescent="0.2">
      <c r="A793" s="91">
        <v>33</v>
      </c>
      <c r="B793" s="93"/>
      <c r="C793" s="114">
        <v>5656</v>
      </c>
      <c r="D793" s="159">
        <v>1430</v>
      </c>
      <c r="E793" s="159">
        <v>1401</v>
      </c>
      <c r="F793" s="159">
        <v>1320</v>
      </c>
      <c r="G793" s="159">
        <v>1204</v>
      </c>
      <c r="H793" s="161">
        <v>994</v>
      </c>
      <c r="J793" s="107"/>
      <c r="K793" s="107"/>
      <c r="L793" s="107"/>
      <c r="M793" s="107"/>
      <c r="N793" s="107"/>
      <c r="O793" s="107"/>
    </row>
    <row r="794" spans="1:15" ht="15" hidden="1" x14ac:dyDescent="0.2">
      <c r="A794" s="91">
        <v>34</v>
      </c>
      <c r="B794" s="93"/>
      <c r="C794" s="114">
        <v>6225</v>
      </c>
      <c r="D794" s="159">
        <v>1468</v>
      </c>
      <c r="E794" s="159">
        <v>1438</v>
      </c>
      <c r="F794" s="159">
        <v>1355</v>
      </c>
      <c r="G794" s="159">
        <v>1236</v>
      </c>
      <c r="H794" s="161">
        <v>1024</v>
      </c>
      <c r="J794" s="107"/>
      <c r="K794" s="107"/>
      <c r="L794" s="107"/>
      <c r="M794" s="107"/>
      <c r="N794" s="107"/>
      <c r="O794" s="107"/>
    </row>
    <row r="795" spans="1:15" ht="15" hidden="1" x14ac:dyDescent="0.2">
      <c r="A795" s="91">
        <v>35</v>
      </c>
      <c r="B795" s="93"/>
      <c r="C795" s="114">
        <v>6508</v>
      </c>
      <c r="D795" s="159">
        <v>1506</v>
      </c>
      <c r="E795" s="159">
        <v>1476</v>
      </c>
      <c r="F795" s="159">
        <v>1391</v>
      </c>
      <c r="G795" s="159">
        <v>1268</v>
      </c>
      <c r="H795" s="161">
        <v>1053</v>
      </c>
      <c r="J795" s="107"/>
      <c r="K795" s="107"/>
      <c r="L795" s="107"/>
      <c r="M795" s="107"/>
      <c r="N795" s="107"/>
      <c r="O795" s="107"/>
    </row>
    <row r="796" spans="1:15" ht="15" hidden="1" x14ac:dyDescent="0.2">
      <c r="A796" s="91">
        <v>36</v>
      </c>
      <c r="B796" s="93"/>
      <c r="C796" s="114">
        <v>6554</v>
      </c>
      <c r="D796" s="159">
        <v>1544</v>
      </c>
      <c r="E796" s="159">
        <v>1513</v>
      </c>
      <c r="F796" s="159">
        <v>1426</v>
      </c>
      <c r="G796" s="159">
        <v>1300</v>
      </c>
      <c r="H796" s="161">
        <v>1083</v>
      </c>
      <c r="J796" s="107"/>
      <c r="K796" s="107"/>
      <c r="L796" s="107"/>
      <c r="M796" s="107"/>
      <c r="N796" s="107"/>
      <c r="O796" s="107"/>
    </row>
    <row r="797" spans="1:15" ht="15" hidden="1" x14ac:dyDescent="0.2">
      <c r="A797" s="91">
        <v>37</v>
      </c>
      <c r="B797" s="93"/>
      <c r="C797" s="114">
        <v>7376</v>
      </c>
      <c r="D797" s="159">
        <v>1582</v>
      </c>
      <c r="E797" s="159">
        <v>1551</v>
      </c>
      <c r="F797" s="159">
        <v>1461</v>
      </c>
      <c r="G797" s="159">
        <v>1333</v>
      </c>
      <c r="H797" s="161">
        <v>1112</v>
      </c>
      <c r="J797" s="107"/>
      <c r="K797" s="107"/>
      <c r="L797" s="107"/>
      <c r="M797" s="107"/>
      <c r="N797" s="107"/>
      <c r="O797" s="107"/>
    </row>
    <row r="798" spans="1:15" ht="15" hidden="1" x14ac:dyDescent="0.2">
      <c r="A798" s="91">
        <v>38</v>
      </c>
      <c r="B798" s="93"/>
      <c r="C798" s="114">
        <v>8198</v>
      </c>
      <c r="D798" s="159">
        <v>1622</v>
      </c>
      <c r="E798" s="159">
        <v>1589</v>
      </c>
      <c r="F798" s="159">
        <v>1497</v>
      </c>
      <c r="G798" s="159">
        <v>1366</v>
      </c>
      <c r="H798" s="161">
        <v>1144</v>
      </c>
      <c r="J798" s="107"/>
      <c r="K798" s="107"/>
      <c r="L798" s="107"/>
      <c r="M798" s="107"/>
      <c r="N798" s="107"/>
      <c r="O798" s="107"/>
    </row>
    <row r="799" spans="1:15" ht="15" hidden="1" x14ac:dyDescent="0.2">
      <c r="A799" s="91">
        <v>39</v>
      </c>
      <c r="B799" s="93"/>
      <c r="C799" s="114">
        <v>9021</v>
      </c>
      <c r="D799" s="159">
        <v>1660</v>
      </c>
      <c r="E799" s="159">
        <v>1627</v>
      </c>
      <c r="F799" s="159">
        <v>1534</v>
      </c>
      <c r="G799" s="159">
        <v>1398</v>
      </c>
      <c r="H799" s="161">
        <v>1175</v>
      </c>
      <c r="J799" s="107"/>
      <c r="K799" s="107"/>
      <c r="L799" s="107"/>
      <c r="M799" s="107"/>
      <c r="N799" s="107"/>
      <c r="O799" s="107"/>
    </row>
    <row r="800" spans="1:15" ht="15" hidden="1" x14ac:dyDescent="0.2">
      <c r="A800" s="91">
        <v>40</v>
      </c>
      <c r="B800" s="93"/>
      <c r="C800" s="114">
        <v>9842</v>
      </c>
      <c r="D800" s="159">
        <v>1699</v>
      </c>
      <c r="E800" s="159">
        <v>1665</v>
      </c>
      <c r="F800" s="159">
        <v>1569</v>
      </c>
      <c r="G800" s="159">
        <v>1430</v>
      </c>
      <c r="H800" s="161">
        <v>1207</v>
      </c>
      <c r="J800" s="107"/>
      <c r="K800" s="107"/>
      <c r="L800" s="107"/>
      <c r="M800" s="107"/>
      <c r="N800" s="107"/>
      <c r="O800" s="107"/>
    </row>
    <row r="801" spans="1:15" ht="15" hidden="1" x14ac:dyDescent="0.2">
      <c r="A801" s="91">
        <v>41</v>
      </c>
      <c r="B801" s="93"/>
      <c r="C801" s="114">
        <v>10752</v>
      </c>
      <c r="D801" s="159">
        <v>1738</v>
      </c>
      <c r="E801" s="159">
        <v>1703</v>
      </c>
      <c r="F801" s="159">
        <v>1605</v>
      </c>
      <c r="G801" s="159">
        <v>1463</v>
      </c>
      <c r="H801" s="161">
        <v>1238</v>
      </c>
      <c r="J801" s="107"/>
      <c r="K801" s="107"/>
      <c r="L801" s="107"/>
      <c r="M801" s="107"/>
      <c r="N801" s="107"/>
      <c r="O801" s="107"/>
    </row>
    <row r="802" spans="1:15" ht="15" hidden="1" x14ac:dyDescent="0.2">
      <c r="A802" s="91">
        <v>42</v>
      </c>
      <c r="B802" s="93"/>
      <c r="C802" s="114"/>
      <c r="D802" s="159">
        <v>1777</v>
      </c>
      <c r="E802" s="159">
        <v>1741</v>
      </c>
      <c r="F802" s="159">
        <v>1641</v>
      </c>
      <c r="G802" s="159">
        <v>1496</v>
      </c>
      <c r="H802" s="161">
        <v>1271</v>
      </c>
      <c r="J802" s="107"/>
      <c r="K802" s="107"/>
      <c r="L802" s="107"/>
      <c r="M802" s="107"/>
      <c r="N802" s="107"/>
      <c r="O802" s="107"/>
    </row>
    <row r="803" spans="1:15" ht="15" hidden="1" x14ac:dyDescent="0.2">
      <c r="A803" s="91">
        <v>43</v>
      </c>
      <c r="B803" s="93"/>
      <c r="C803" s="114"/>
      <c r="D803" s="159">
        <v>1847</v>
      </c>
      <c r="E803" s="159">
        <v>1811</v>
      </c>
      <c r="F803" s="159">
        <v>1706</v>
      </c>
      <c r="G803" s="159">
        <v>1556</v>
      </c>
      <c r="H803" s="161">
        <v>1326</v>
      </c>
      <c r="J803" s="107"/>
      <c r="K803" s="107"/>
      <c r="L803" s="107"/>
      <c r="M803" s="107"/>
      <c r="N803" s="107"/>
      <c r="O803" s="107"/>
    </row>
    <row r="804" spans="1:15" ht="15" hidden="1" x14ac:dyDescent="0.2">
      <c r="A804" s="91">
        <v>44</v>
      </c>
      <c r="B804" s="93"/>
      <c r="C804" s="114"/>
      <c r="D804" s="159">
        <v>1918</v>
      </c>
      <c r="E804" s="159">
        <v>1879</v>
      </c>
      <c r="F804" s="159">
        <v>1771</v>
      </c>
      <c r="G804" s="159">
        <v>1615</v>
      </c>
      <c r="H804" s="161">
        <v>1383</v>
      </c>
      <c r="J804" s="107"/>
      <c r="K804" s="107"/>
      <c r="L804" s="107"/>
      <c r="M804" s="107"/>
      <c r="N804" s="107"/>
      <c r="O804" s="107"/>
    </row>
    <row r="805" spans="1:15" ht="15" hidden="1" x14ac:dyDescent="0.2">
      <c r="A805" s="91">
        <v>45</v>
      </c>
      <c r="B805" s="93"/>
      <c r="C805" s="114"/>
      <c r="D805" s="159">
        <v>1989</v>
      </c>
      <c r="E805" s="159">
        <v>1949</v>
      </c>
      <c r="F805" s="159">
        <v>1837</v>
      </c>
      <c r="G805" s="159">
        <v>1674</v>
      </c>
      <c r="H805" s="161">
        <v>1439</v>
      </c>
      <c r="J805" s="107"/>
      <c r="K805" s="107"/>
      <c r="L805" s="107"/>
      <c r="M805" s="107"/>
      <c r="N805" s="107"/>
      <c r="O805" s="107"/>
    </row>
    <row r="806" spans="1:15" ht="15" hidden="1" x14ac:dyDescent="0.2">
      <c r="A806" s="91">
        <v>46</v>
      </c>
      <c r="B806" s="93"/>
      <c r="C806" s="114"/>
      <c r="D806" s="159">
        <v>2059</v>
      </c>
      <c r="E806" s="159">
        <v>2018</v>
      </c>
      <c r="F806" s="159">
        <v>1901</v>
      </c>
      <c r="G806" s="159">
        <v>1735</v>
      </c>
      <c r="H806" s="161">
        <v>1494</v>
      </c>
      <c r="J806" s="107"/>
      <c r="K806" s="107"/>
      <c r="L806" s="107"/>
      <c r="M806" s="107"/>
      <c r="N806" s="107"/>
      <c r="O806" s="107"/>
    </row>
    <row r="807" spans="1:15" ht="15" hidden="1" x14ac:dyDescent="0.2">
      <c r="A807" s="91">
        <v>47</v>
      </c>
      <c r="B807" s="93"/>
      <c r="C807" s="114"/>
      <c r="D807" s="159">
        <v>2130</v>
      </c>
      <c r="E807" s="159">
        <v>2088</v>
      </c>
      <c r="F807" s="159">
        <v>1967</v>
      </c>
      <c r="G807" s="159">
        <v>1794</v>
      </c>
      <c r="H807" s="161">
        <v>1551</v>
      </c>
      <c r="J807" s="107"/>
      <c r="K807" s="107"/>
      <c r="L807" s="107"/>
      <c r="M807" s="107"/>
      <c r="N807" s="107"/>
      <c r="O807" s="107"/>
    </row>
    <row r="808" spans="1:15" ht="15" hidden="1" x14ac:dyDescent="0.2">
      <c r="A808" s="91">
        <v>48</v>
      </c>
      <c r="B808" s="93"/>
      <c r="C808" s="114"/>
      <c r="D808" s="159">
        <v>2205</v>
      </c>
      <c r="E808" s="159">
        <v>2160</v>
      </c>
      <c r="F808" s="159">
        <v>2037</v>
      </c>
      <c r="G808" s="159">
        <v>1857</v>
      </c>
      <c r="H808" s="161">
        <v>1608</v>
      </c>
      <c r="J808" s="107"/>
      <c r="K808" s="107"/>
      <c r="L808" s="107"/>
      <c r="M808" s="107"/>
      <c r="N808" s="107"/>
      <c r="O808" s="107"/>
    </row>
    <row r="809" spans="1:15" ht="15" hidden="1" x14ac:dyDescent="0.2">
      <c r="A809" s="91">
        <v>49</v>
      </c>
      <c r="B809" s="93"/>
      <c r="C809" s="114"/>
      <c r="D809" s="159">
        <v>2279</v>
      </c>
      <c r="E809" s="159">
        <v>2233</v>
      </c>
      <c r="F809" s="159">
        <v>2105</v>
      </c>
      <c r="G809" s="159">
        <v>1920</v>
      </c>
      <c r="H809" s="161">
        <v>1668</v>
      </c>
      <c r="J809" s="107"/>
      <c r="K809" s="107"/>
      <c r="L809" s="107"/>
      <c r="M809" s="107"/>
      <c r="N809" s="107"/>
      <c r="O809" s="107"/>
    </row>
    <row r="810" spans="1:15" ht="15" hidden="1" x14ac:dyDescent="0.2">
      <c r="A810" s="91">
        <v>50</v>
      </c>
      <c r="B810" s="93"/>
      <c r="C810" s="114"/>
      <c r="D810" s="159">
        <v>2354</v>
      </c>
      <c r="E810" s="159">
        <v>2307</v>
      </c>
      <c r="F810" s="159">
        <v>2174</v>
      </c>
      <c r="G810" s="159">
        <v>1983</v>
      </c>
      <c r="H810" s="161">
        <v>1725</v>
      </c>
      <c r="J810" s="107"/>
      <c r="K810" s="107"/>
      <c r="L810" s="107"/>
      <c r="M810" s="107"/>
      <c r="N810" s="107"/>
      <c r="O810" s="107"/>
    </row>
    <row r="811" spans="1:15" ht="15" hidden="1" x14ac:dyDescent="0.2">
      <c r="A811" s="91">
        <v>51</v>
      </c>
      <c r="B811" s="93"/>
      <c r="C811" s="114"/>
      <c r="D811" s="159">
        <v>2429</v>
      </c>
      <c r="E811" s="159">
        <v>2381</v>
      </c>
      <c r="F811" s="159">
        <v>2243</v>
      </c>
      <c r="G811" s="159">
        <v>2046</v>
      </c>
      <c r="H811" s="161">
        <v>1784</v>
      </c>
      <c r="J811" s="107"/>
      <c r="K811" s="107"/>
      <c r="L811" s="107"/>
      <c r="M811" s="107"/>
      <c r="N811" s="107"/>
      <c r="O811" s="107"/>
    </row>
    <row r="812" spans="1:15" ht="15" hidden="1" x14ac:dyDescent="0.2">
      <c r="A812" s="91">
        <v>52</v>
      </c>
      <c r="B812" s="93"/>
      <c r="C812" s="114"/>
      <c r="D812" s="159">
        <v>2504</v>
      </c>
      <c r="E812" s="159">
        <v>2453</v>
      </c>
      <c r="F812" s="159">
        <v>2312</v>
      </c>
      <c r="G812" s="159">
        <v>2109</v>
      </c>
      <c r="H812" s="161">
        <v>1842</v>
      </c>
      <c r="J812" s="107"/>
      <c r="K812" s="107"/>
      <c r="L812" s="107"/>
      <c r="M812" s="107"/>
      <c r="N812" s="107"/>
      <c r="O812" s="107"/>
    </row>
    <row r="813" spans="1:15" ht="15" hidden="1" x14ac:dyDescent="0.2">
      <c r="A813" s="91">
        <v>53</v>
      </c>
      <c r="B813" s="93"/>
      <c r="C813" s="114"/>
      <c r="D813" s="159">
        <v>2592</v>
      </c>
      <c r="E813" s="159">
        <v>2541</v>
      </c>
      <c r="F813" s="159">
        <v>2394</v>
      </c>
      <c r="G813" s="159">
        <v>2182</v>
      </c>
      <c r="H813" s="161">
        <v>1914</v>
      </c>
      <c r="J813" s="107"/>
      <c r="K813" s="107"/>
      <c r="L813" s="107"/>
      <c r="M813" s="107"/>
      <c r="N813" s="107"/>
      <c r="O813" s="107"/>
    </row>
    <row r="814" spans="1:15" ht="15" hidden="1" x14ac:dyDescent="0.2">
      <c r="A814" s="91">
        <v>54</v>
      </c>
      <c r="B814" s="93"/>
      <c r="C814" s="114"/>
      <c r="D814" s="159">
        <v>2681</v>
      </c>
      <c r="E814" s="159">
        <v>2627</v>
      </c>
      <c r="F814" s="159">
        <v>2476</v>
      </c>
      <c r="G814" s="159">
        <v>2257</v>
      </c>
      <c r="H814" s="161">
        <v>1985</v>
      </c>
      <c r="J814" s="107"/>
      <c r="K814" s="107"/>
      <c r="L814" s="107"/>
      <c r="M814" s="107"/>
      <c r="N814" s="107"/>
      <c r="O814" s="107"/>
    </row>
    <row r="815" spans="1:15" ht="15" hidden="1" x14ac:dyDescent="0.2">
      <c r="A815" s="91">
        <v>55</v>
      </c>
      <c r="B815" s="93"/>
      <c r="C815" s="114"/>
      <c r="D815" s="159">
        <v>2769</v>
      </c>
      <c r="E815" s="159">
        <v>2714</v>
      </c>
      <c r="F815" s="159">
        <v>2558</v>
      </c>
      <c r="G815" s="159">
        <v>2332</v>
      </c>
      <c r="H815" s="161">
        <v>2058</v>
      </c>
      <c r="J815" s="107"/>
      <c r="K815" s="107"/>
      <c r="L815" s="107"/>
      <c r="M815" s="107"/>
      <c r="N815" s="107"/>
      <c r="O815" s="107"/>
    </row>
    <row r="816" spans="1:15" ht="15" hidden="1" x14ac:dyDescent="0.2">
      <c r="A816" s="91">
        <v>56</v>
      </c>
      <c r="B816" s="93"/>
      <c r="C816" s="114"/>
      <c r="D816" s="159">
        <v>2858</v>
      </c>
      <c r="E816" s="159">
        <v>2801</v>
      </c>
      <c r="F816" s="159">
        <v>2639</v>
      </c>
      <c r="G816" s="159">
        <v>2407</v>
      </c>
      <c r="H816" s="161">
        <v>2128</v>
      </c>
      <c r="J816" s="107"/>
      <c r="K816" s="107"/>
      <c r="L816" s="107"/>
      <c r="M816" s="107"/>
      <c r="N816" s="107"/>
      <c r="O816" s="107"/>
    </row>
    <row r="817" spans="1:15" ht="15" hidden="1" x14ac:dyDescent="0.2">
      <c r="A817" s="91">
        <v>57</v>
      </c>
      <c r="B817" s="93"/>
      <c r="C817" s="114"/>
      <c r="D817" s="159">
        <v>2946</v>
      </c>
      <c r="E817" s="159">
        <v>2887</v>
      </c>
      <c r="F817" s="159">
        <v>2721</v>
      </c>
      <c r="G817" s="159">
        <v>2480</v>
      </c>
      <c r="H817" s="161">
        <v>2201</v>
      </c>
      <c r="J817" s="107"/>
      <c r="K817" s="107"/>
      <c r="L817" s="107"/>
      <c r="M817" s="107"/>
      <c r="N817" s="107"/>
      <c r="O817" s="107"/>
    </row>
    <row r="818" spans="1:15" ht="15" hidden="1" x14ac:dyDescent="0.2">
      <c r="A818" s="91">
        <v>58</v>
      </c>
      <c r="B818" s="93"/>
      <c r="C818" s="114"/>
      <c r="D818" s="159">
        <v>3049</v>
      </c>
      <c r="E818" s="159">
        <v>2987</v>
      </c>
      <c r="F818" s="159">
        <v>2807</v>
      </c>
      <c r="G818" s="159">
        <v>2567</v>
      </c>
      <c r="H818" s="161">
        <v>2294</v>
      </c>
      <c r="J818" s="107"/>
      <c r="K818" s="107"/>
      <c r="L818" s="107"/>
      <c r="M818" s="107"/>
      <c r="N818" s="107"/>
      <c r="O818" s="107"/>
    </row>
    <row r="819" spans="1:15" ht="15" hidden="1" x14ac:dyDescent="0.2">
      <c r="A819" s="91">
        <v>59</v>
      </c>
      <c r="B819" s="93"/>
      <c r="C819" s="114"/>
      <c r="D819" s="159">
        <v>3150</v>
      </c>
      <c r="E819" s="159">
        <v>3087</v>
      </c>
      <c r="F819" s="159">
        <v>2893</v>
      </c>
      <c r="G819" s="159">
        <v>2652</v>
      </c>
      <c r="H819" s="161">
        <v>2387</v>
      </c>
      <c r="J819" s="107"/>
      <c r="K819" s="107"/>
      <c r="L819" s="107"/>
      <c r="M819" s="107"/>
      <c r="N819" s="107"/>
      <c r="O819" s="107"/>
    </row>
    <row r="820" spans="1:15" ht="15" hidden="1" x14ac:dyDescent="0.2">
      <c r="A820" s="91">
        <v>60</v>
      </c>
      <c r="B820" s="93"/>
      <c r="C820" s="114"/>
      <c r="D820" s="159">
        <v>3252</v>
      </c>
      <c r="E820" s="159">
        <v>3187</v>
      </c>
      <c r="F820" s="159">
        <v>2978</v>
      </c>
      <c r="G820" s="159">
        <v>2739</v>
      </c>
      <c r="H820" s="161">
        <v>2480</v>
      </c>
      <c r="J820" s="107"/>
      <c r="K820" s="107"/>
      <c r="L820" s="107"/>
      <c r="M820" s="107"/>
      <c r="N820" s="107"/>
      <c r="O820" s="107"/>
    </row>
    <row r="821" spans="1:15" ht="15" hidden="1" x14ac:dyDescent="0.2">
      <c r="A821" s="91">
        <v>61</v>
      </c>
      <c r="B821" s="93"/>
      <c r="C821" s="114"/>
      <c r="D821" s="159">
        <v>3376</v>
      </c>
      <c r="E821" s="159">
        <v>3308</v>
      </c>
      <c r="F821" s="159">
        <v>3107</v>
      </c>
      <c r="G821" s="159">
        <v>2843</v>
      </c>
      <c r="H821" s="161">
        <v>2572</v>
      </c>
      <c r="J821" s="107"/>
      <c r="K821" s="107"/>
      <c r="L821" s="107"/>
      <c r="M821" s="107"/>
      <c r="N821" s="107"/>
      <c r="O821" s="107"/>
    </row>
    <row r="822" spans="1:15" ht="15" hidden="1" x14ac:dyDescent="0.2">
      <c r="A822" s="91">
        <v>62</v>
      </c>
      <c r="B822" s="93"/>
      <c r="C822" s="114"/>
      <c r="D822" s="159">
        <v>3528</v>
      </c>
      <c r="E822" s="159">
        <v>3457</v>
      </c>
      <c r="F822" s="159">
        <v>3259</v>
      </c>
      <c r="G822" s="159">
        <v>2971</v>
      </c>
      <c r="H822" s="161">
        <v>2689</v>
      </c>
      <c r="J822" s="107"/>
      <c r="K822" s="107"/>
      <c r="L822" s="107"/>
      <c r="M822" s="107"/>
      <c r="N822" s="107"/>
      <c r="O822" s="107"/>
    </row>
    <row r="823" spans="1:15" ht="15" hidden="1" x14ac:dyDescent="0.2">
      <c r="A823" s="91">
        <v>63</v>
      </c>
      <c r="B823" s="93"/>
      <c r="C823" s="114"/>
      <c r="D823" s="159">
        <v>3709</v>
      </c>
      <c r="E823" s="159">
        <v>3635</v>
      </c>
      <c r="F823" s="159">
        <v>3426</v>
      </c>
      <c r="G823" s="159">
        <v>3124</v>
      </c>
      <c r="H823" s="161">
        <v>2827</v>
      </c>
      <c r="J823" s="107"/>
      <c r="K823" s="107"/>
      <c r="L823" s="107"/>
      <c r="M823" s="107"/>
      <c r="N823" s="107"/>
      <c r="O823" s="107"/>
    </row>
    <row r="824" spans="1:15" ht="15" hidden="1" x14ac:dyDescent="0.2">
      <c r="A824" s="91">
        <v>64</v>
      </c>
      <c r="B824" s="93"/>
      <c r="C824" s="114"/>
      <c r="D824" s="159">
        <v>3923</v>
      </c>
      <c r="E824" s="159">
        <v>3845</v>
      </c>
      <c r="F824" s="159">
        <v>3624</v>
      </c>
      <c r="G824" s="159">
        <v>3304</v>
      </c>
      <c r="H824" s="161">
        <v>2990</v>
      </c>
      <c r="J824" s="107"/>
      <c r="K824" s="107"/>
      <c r="L824" s="107"/>
      <c r="M824" s="107"/>
      <c r="N824" s="107"/>
      <c r="O824" s="107"/>
    </row>
    <row r="825" spans="1:15" ht="15" hidden="1" x14ac:dyDescent="0.2">
      <c r="A825" s="91">
        <v>65</v>
      </c>
      <c r="B825" s="93"/>
      <c r="C825" s="114"/>
      <c r="D825" s="159">
        <v>4179</v>
      </c>
      <c r="E825" s="159">
        <v>4095</v>
      </c>
      <c r="F825" s="159">
        <v>3860</v>
      </c>
      <c r="G825" s="159">
        <v>3519</v>
      </c>
      <c r="H825" s="161">
        <v>3213</v>
      </c>
      <c r="J825" s="107"/>
      <c r="K825" s="107"/>
      <c r="L825" s="107"/>
      <c r="M825" s="107"/>
      <c r="N825" s="107"/>
      <c r="O825" s="107"/>
    </row>
    <row r="826" spans="1:15" ht="15" hidden="1" x14ac:dyDescent="0.2">
      <c r="A826" s="91">
        <v>66</v>
      </c>
      <c r="B826" s="93"/>
      <c r="C826" s="114"/>
      <c r="D826" s="159">
        <v>4481</v>
      </c>
      <c r="E826" s="159">
        <v>4391</v>
      </c>
      <c r="F826" s="159">
        <v>4139</v>
      </c>
      <c r="G826" s="159">
        <v>3774</v>
      </c>
      <c r="H826" s="161">
        <v>3470</v>
      </c>
      <c r="J826" s="107"/>
      <c r="K826" s="107"/>
      <c r="L826" s="107"/>
      <c r="M826" s="107"/>
      <c r="N826" s="107"/>
      <c r="O826" s="107"/>
    </row>
    <row r="827" spans="1:15" ht="15" hidden="1" x14ac:dyDescent="0.2">
      <c r="A827" s="91">
        <v>67</v>
      </c>
      <c r="B827" s="93"/>
      <c r="C827" s="114"/>
      <c r="D827" s="159">
        <v>4839</v>
      </c>
      <c r="E827" s="159">
        <v>4741</v>
      </c>
      <c r="F827" s="159">
        <v>4468</v>
      </c>
      <c r="G827" s="159">
        <v>4074</v>
      </c>
      <c r="H827" s="161">
        <v>3750</v>
      </c>
      <c r="J827" s="107"/>
      <c r="K827" s="107"/>
      <c r="L827" s="107"/>
      <c r="M827" s="107"/>
      <c r="N827" s="107"/>
      <c r="O827" s="107"/>
    </row>
    <row r="828" spans="1:15" ht="15" hidden="1" x14ac:dyDescent="0.2">
      <c r="A828" s="91">
        <v>68</v>
      </c>
      <c r="B828" s="93"/>
      <c r="C828" s="114"/>
      <c r="D828" s="159">
        <v>5250</v>
      </c>
      <c r="E828" s="159">
        <v>5145</v>
      </c>
      <c r="F828" s="159">
        <v>4848</v>
      </c>
      <c r="G828" s="159">
        <v>4420</v>
      </c>
      <c r="H828" s="161">
        <v>4067</v>
      </c>
      <c r="J828" s="107"/>
      <c r="K828" s="107"/>
      <c r="L828" s="107"/>
      <c r="M828" s="107"/>
      <c r="N828" s="107"/>
      <c r="O828" s="107"/>
    </row>
    <row r="829" spans="1:15" ht="15" hidden="1" x14ac:dyDescent="0.2">
      <c r="A829" s="91">
        <v>69</v>
      </c>
      <c r="B829" s="93"/>
      <c r="C829" s="114"/>
      <c r="D829" s="159">
        <v>5729</v>
      </c>
      <c r="E829" s="159">
        <v>5613</v>
      </c>
      <c r="F829" s="159">
        <v>5290</v>
      </c>
      <c r="G829" s="159">
        <v>4824</v>
      </c>
      <c r="H829" s="161">
        <v>4441</v>
      </c>
      <c r="J829" s="107"/>
      <c r="K829" s="107"/>
      <c r="L829" s="107"/>
      <c r="M829" s="107"/>
      <c r="N829" s="107"/>
      <c r="O829" s="107"/>
    </row>
    <row r="830" spans="1:15" ht="15" hidden="1" x14ac:dyDescent="0.2">
      <c r="A830" s="91">
        <v>70</v>
      </c>
      <c r="B830" s="93"/>
      <c r="C830" s="114"/>
      <c r="D830" s="159">
        <v>6284</v>
      </c>
      <c r="E830" s="159">
        <v>6157</v>
      </c>
      <c r="F830" s="159">
        <v>5754</v>
      </c>
      <c r="G830" s="159">
        <v>5292</v>
      </c>
      <c r="H830" s="161">
        <v>4942</v>
      </c>
      <c r="J830" s="107"/>
      <c r="K830" s="107"/>
      <c r="L830" s="107"/>
      <c r="M830" s="107"/>
      <c r="N830" s="107"/>
      <c r="O830" s="107"/>
    </row>
    <row r="831" spans="1:15" ht="15" hidden="1" x14ac:dyDescent="0.2">
      <c r="A831" s="91">
        <v>71</v>
      </c>
      <c r="B831" s="93"/>
      <c r="C831" s="114"/>
      <c r="D831" s="159">
        <v>6920</v>
      </c>
      <c r="E831" s="159">
        <v>6781</v>
      </c>
      <c r="F831" s="159">
        <v>6391</v>
      </c>
      <c r="G831" s="159">
        <v>5826</v>
      </c>
      <c r="H831" s="161">
        <v>5441</v>
      </c>
      <c r="J831" s="107"/>
      <c r="K831" s="107"/>
      <c r="L831" s="107"/>
      <c r="M831" s="107"/>
      <c r="N831" s="107"/>
      <c r="O831" s="107"/>
    </row>
    <row r="832" spans="1:15" ht="15" hidden="1" x14ac:dyDescent="0.2">
      <c r="A832" s="91">
        <v>72</v>
      </c>
      <c r="B832" s="93"/>
      <c r="C832" s="114"/>
      <c r="D832" s="159">
        <v>7656</v>
      </c>
      <c r="E832" s="159">
        <v>7501</v>
      </c>
      <c r="F832" s="159">
        <v>7071</v>
      </c>
      <c r="G832" s="159">
        <v>6447</v>
      </c>
      <c r="H832" s="161">
        <v>6024</v>
      </c>
      <c r="J832" s="107"/>
      <c r="K832" s="107"/>
      <c r="L832" s="107"/>
      <c r="M832" s="107"/>
      <c r="N832" s="107"/>
      <c r="O832" s="107"/>
    </row>
    <row r="833" spans="1:15" ht="15" hidden="1" x14ac:dyDescent="0.2">
      <c r="A833" s="91">
        <v>73</v>
      </c>
      <c r="B833" s="93"/>
      <c r="C833" s="114"/>
      <c r="D833" s="159">
        <v>8503</v>
      </c>
      <c r="E833" s="159">
        <v>8331</v>
      </c>
      <c r="F833" s="159">
        <v>7853</v>
      </c>
      <c r="G833" s="159">
        <v>7160</v>
      </c>
      <c r="H833" s="161">
        <v>6686</v>
      </c>
      <c r="J833" s="107"/>
      <c r="K833" s="107"/>
      <c r="L833" s="107"/>
      <c r="M833" s="107"/>
      <c r="N833" s="107"/>
      <c r="O833" s="107"/>
    </row>
    <row r="834" spans="1:15" ht="15" hidden="1" x14ac:dyDescent="0.2">
      <c r="A834" s="91">
        <v>74</v>
      </c>
      <c r="B834" s="93"/>
      <c r="C834" s="114"/>
      <c r="D834" s="159">
        <v>9480</v>
      </c>
      <c r="E834" s="159">
        <v>9290</v>
      </c>
      <c r="F834" s="159">
        <v>8755</v>
      </c>
      <c r="G834" s="159">
        <v>7982</v>
      </c>
      <c r="H834" s="161">
        <v>7457</v>
      </c>
      <c r="J834" s="107"/>
      <c r="K834" s="107"/>
      <c r="L834" s="107"/>
      <c r="M834" s="107"/>
      <c r="N834" s="107"/>
      <c r="O834" s="107"/>
    </row>
    <row r="835" spans="1:15" ht="15" hidden="1" x14ac:dyDescent="0.2">
      <c r="A835" s="91">
        <v>75</v>
      </c>
      <c r="B835" s="93"/>
      <c r="C835" s="114"/>
      <c r="D835" s="159">
        <v>10600</v>
      </c>
      <c r="E835" s="159">
        <v>10386</v>
      </c>
      <c r="F835" s="159">
        <v>9748</v>
      </c>
      <c r="G835" s="159">
        <v>8925</v>
      </c>
      <c r="H835" s="161">
        <v>8389</v>
      </c>
      <c r="J835" s="107"/>
      <c r="K835" s="107"/>
      <c r="L835" s="107"/>
      <c r="M835" s="107"/>
      <c r="N835" s="107"/>
      <c r="O835" s="107"/>
    </row>
    <row r="836" spans="1:15" ht="15" hidden="1" x14ac:dyDescent="0.2">
      <c r="A836" s="91">
        <v>76</v>
      </c>
      <c r="B836" s="93"/>
      <c r="C836" s="114"/>
      <c r="D836" s="159">
        <v>11887</v>
      </c>
      <c r="E836" s="159">
        <v>11647</v>
      </c>
      <c r="F836" s="159">
        <v>10969</v>
      </c>
      <c r="G836" s="159">
        <v>10008</v>
      </c>
      <c r="H836" s="161">
        <v>9407</v>
      </c>
      <c r="J836" s="107"/>
      <c r="K836" s="107"/>
      <c r="L836" s="107"/>
      <c r="M836" s="107"/>
      <c r="N836" s="107"/>
      <c r="O836" s="107"/>
    </row>
    <row r="837" spans="1:15" ht="15" hidden="1" x14ac:dyDescent="0.2">
      <c r="A837" s="91">
        <v>77</v>
      </c>
      <c r="B837" s="93"/>
      <c r="C837" s="114"/>
      <c r="D837" s="159">
        <v>13350</v>
      </c>
      <c r="E837" s="159">
        <v>13081</v>
      </c>
      <c r="F837" s="159">
        <v>12328</v>
      </c>
      <c r="G837" s="159">
        <v>11241</v>
      </c>
      <c r="H837" s="161">
        <v>10565</v>
      </c>
      <c r="J837" s="107"/>
      <c r="K837" s="107"/>
      <c r="L837" s="107"/>
      <c r="M837" s="107"/>
      <c r="N837" s="107"/>
      <c r="O837" s="107"/>
    </row>
    <row r="838" spans="1:15" ht="15" hidden="1" x14ac:dyDescent="0.2">
      <c r="A838" s="91">
        <v>78</v>
      </c>
      <c r="B838" s="93"/>
      <c r="C838" s="114"/>
      <c r="D838" s="159">
        <v>15000</v>
      </c>
      <c r="E838" s="159">
        <v>14698</v>
      </c>
      <c r="F838" s="159">
        <v>13853</v>
      </c>
      <c r="G838" s="159">
        <v>12630</v>
      </c>
      <c r="H838" s="161">
        <v>11870</v>
      </c>
      <c r="J838" s="107"/>
      <c r="K838" s="107"/>
      <c r="L838" s="107"/>
      <c r="M838" s="107"/>
      <c r="N838" s="107"/>
      <c r="O838" s="107"/>
    </row>
    <row r="839" spans="1:15" ht="15" hidden="1" x14ac:dyDescent="0.2">
      <c r="A839" s="91">
        <v>79</v>
      </c>
      <c r="B839" s="93"/>
      <c r="C839" s="114"/>
      <c r="D839" s="159">
        <v>16854</v>
      </c>
      <c r="E839" s="159">
        <v>16514</v>
      </c>
      <c r="F839" s="159">
        <v>15565</v>
      </c>
      <c r="G839" s="159">
        <v>14190</v>
      </c>
      <c r="H839" s="161">
        <v>13338</v>
      </c>
      <c r="J839" s="107"/>
      <c r="K839" s="107"/>
      <c r="L839" s="107"/>
      <c r="M839" s="107"/>
      <c r="N839" s="107"/>
      <c r="O839" s="107"/>
    </row>
    <row r="840" spans="1:15" ht="15" hidden="1" x14ac:dyDescent="0.2">
      <c r="A840" s="91">
        <v>80</v>
      </c>
      <c r="B840" s="158" t="s">
        <v>198</v>
      </c>
      <c r="C840" s="114"/>
      <c r="D840" s="159">
        <v>19072</v>
      </c>
      <c r="E840" s="159">
        <v>18687</v>
      </c>
      <c r="F840" s="159">
        <v>17612</v>
      </c>
      <c r="G840" s="159">
        <v>16059</v>
      </c>
      <c r="H840" s="161">
        <v>15092</v>
      </c>
      <c r="J840" s="107"/>
      <c r="K840" s="107"/>
      <c r="L840" s="107"/>
      <c r="M840" s="107"/>
      <c r="N840" s="107"/>
      <c r="O840" s="107"/>
    </row>
    <row r="841" spans="1:15" ht="15" hidden="1" x14ac:dyDescent="0.2">
      <c r="A841" s="91">
        <v>1</v>
      </c>
      <c r="B841" s="93" t="s">
        <v>13</v>
      </c>
      <c r="C841" s="114">
        <v>604</v>
      </c>
      <c r="D841" s="159">
        <v>563</v>
      </c>
      <c r="E841" s="159">
        <v>551</v>
      </c>
      <c r="F841" s="159">
        <v>520</v>
      </c>
      <c r="G841" s="159">
        <v>474</v>
      </c>
      <c r="H841" s="161">
        <v>280</v>
      </c>
      <c r="J841" s="107"/>
      <c r="K841" s="107"/>
      <c r="L841" s="107"/>
      <c r="M841" s="107"/>
      <c r="N841" s="107"/>
      <c r="O841" s="107"/>
    </row>
    <row r="842" spans="1:15" ht="15" hidden="1" x14ac:dyDescent="0.2">
      <c r="A842" s="91">
        <v>2</v>
      </c>
      <c r="B842" s="93" t="s">
        <v>1</v>
      </c>
      <c r="C842" s="114">
        <v>991</v>
      </c>
      <c r="D842" s="159">
        <v>949</v>
      </c>
      <c r="E842" s="159">
        <v>930</v>
      </c>
      <c r="F842" s="159">
        <v>877</v>
      </c>
      <c r="G842" s="159">
        <v>800</v>
      </c>
      <c r="H842" s="161">
        <v>416</v>
      </c>
      <c r="J842" s="107"/>
      <c r="K842" s="107"/>
      <c r="L842" s="107"/>
      <c r="M842" s="107"/>
      <c r="N842" s="107"/>
      <c r="O842" s="107"/>
    </row>
    <row r="843" spans="1:15" ht="15" hidden="1" x14ac:dyDescent="0.2">
      <c r="A843" s="91">
        <v>3</v>
      </c>
      <c r="B843" s="93" t="s">
        <v>14</v>
      </c>
      <c r="C843" s="114">
        <v>1452</v>
      </c>
      <c r="D843" s="159">
        <v>1393</v>
      </c>
      <c r="E843" s="159">
        <v>1364</v>
      </c>
      <c r="F843" s="159">
        <v>1285</v>
      </c>
      <c r="G843" s="159">
        <v>1173</v>
      </c>
      <c r="H843" s="161">
        <v>597</v>
      </c>
      <c r="J843" s="107"/>
      <c r="K843" s="107"/>
      <c r="L843" s="107"/>
      <c r="M843" s="107"/>
      <c r="N843" s="107"/>
      <c r="O843" s="107"/>
    </row>
    <row r="844" spans="1:15" hidden="1" x14ac:dyDescent="0.2">
      <c r="A844" s="91">
        <v>1</v>
      </c>
      <c r="B844" s="93" t="s">
        <v>3</v>
      </c>
      <c r="C844" s="114">
        <v>225</v>
      </c>
      <c r="D844" s="94">
        <v>225</v>
      </c>
      <c r="E844" s="94">
        <v>225</v>
      </c>
      <c r="F844" s="94">
        <v>225</v>
      </c>
      <c r="G844" s="94">
        <v>225</v>
      </c>
      <c r="H844" s="95">
        <v>225</v>
      </c>
      <c r="J844" s="107"/>
      <c r="K844" s="107"/>
      <c r="L844" s="107"/>
      <c r="M844" s="107"/>
      <c r="N844" s="107"/>
      <c r="O844" s="107"/>
    </row>
    <row r="845" spans="1:15" hidden="1" x14ac:dyDescent="0.2">
      <c r="A845" s="91">
        <v>1</v>
      </c>
      <c r="B845" s="93" t="s">
        <v>2</v>
      </c>
      <c r="C845" s="114">
        <v>250</v>
      </c>
      <c r="D845" s="94">
        <v>300</v>
      </c>
      <c r="E845" s="94">
        <v>300</v>
      </c>
      <c r="F845" s="94">
        <v>300</v>
      </c>
      <c r="G845" s="94">
        <v>300</v>
      </c>
      <c r="H845" s="95">
        <v>300</v>
      </c>
      <c r="J845" s="107"/>
      <c r="K845" s="107"/>
      <c r="L845" s="107"/>
      <c r="M845" s="107"/>
      <c r="N845" s="107"/>
      <c r="O845" s="107"/>
    </row>
    <row r="846" spans="1:15" hidden="1" x14ac:dyDescent="0.2">
      <c r="A846" s="91"/>
      <c r="H846" s="97"/>
    </row>
    <row r="847" spans="1:15" ht="18" hidden="1" x14ac:dyDescent="0.25">
      <c r="A847" s="325" t="s">
        <v>35</v>
      </c>
      <c r="B847" s="326"/>
      <c r="C847" s="326"/>
      <c r="D847" s="326"/>
      <c r="E847" s="326"/>
      <c r="F847" s="326"/>
      <c r="G847" s="326"/>
      <c r="H847" s="327"/>
    </row>
    <row r="848" spans="1:15" hidden="1" x14ac:dyDescent="0.2">
      <c r="A848" s="328" t="s">
        <v>0</v>
      </c>
      <c r="B848" s="329"/>
      <c r="C848" s="329"/>
      <c r="D848" s="329"/>
      <c r="E848" s="329"/>
      <c r="F848" s="329"/>
      <c r="G848" s="329"/>
      <c r="H848" s="90"/>
    </row>
    <row r="849" spans="1:8" hidden="1" x14ac:dyDescent="0.2">
      <c r="A849" s="91" t="s">
        <v>4</v>
      </c>
      <c r="B849" s="92" t="s">
        <v>4</v>
      </c>
      <c r="C849" s="155" t="s">
        <v>75</v>
      </c>
      <c r="D849" s="154" t="s">
        <v>76</v>
      </c>
      <c r="E849" s="154" t="s">
        <v>77</v>
      </c>
      <c r="F849" s="154" t="s">
        <v>78</v>
      </c>
      <c r="G849" s="154" t="s">
        <v>79</v>
      </c>
      <c r="H849" s="90" t="s">
        <v>80</v>
      </c>
    </row>
    <row r="850" spans="1:8" hidden="1" x14ac:dyDescent="0.2">
      <c r="A850" s="91">
        <v>18</v>
      </c>
      <c r="B850" s="93"/>
      <c r="C850" s="114">
        <f t="shared" ref="C850:H859" si="165">+C778*$L$2</f>
        <v>702.78000000000009</v>
      </c>
      <c r="D850" s="94">
        <f t="shared" si="165"/>
        <v>584.06000000000006</v>
      </c>
      <c r="E850" s="94">
        <f t="shared" si="165"/>
        <v>571.87</v>
      </c>
      <c r="F850" s="94">
        <f t="shared" si="165"/>
        <v>539.54000000000008</v>
      </c>
      <c r="G850" s="94">
        <f t="shared" si="165"/>
        <v>491.84000000000003</v>
      </c>
      <c r="H850" s="95">
        <f t="shared" si="165"/>
        <v>380.01</v>
      </c>
    </row>
    <row r="851" spans="1:8" hidden="1" x14ac:dyDescent="0.2">
      <c r="A851" s="91">
        <v>19</v>
      </c>
      <c r="B851" s="93"/>
      <c r="C851" s="114">
        <f t="shared" si="165"/>
        <v>779.63</v>
      </c>
      <c r="D851" s="94">
        <f t="shared" si="165"/>
        <v>594.13</v>
      </c>
      <c r="E851" s="94">
        <f t="shared" si="165"/>
        <v>581.94000000000005</v>
      </c>
      <c r="F851" s="94">
        <f t="shared" si="165"/>
        <v>548.55000000000007</v>
      </c>
      <c r="G851" s="94">
        <f t="shared" si="165"/>
        <v>500.32000000000005</v>
      </c>
      <c r="H851" s="95">
        <f t="shared" si="165"/>
        <v>388.49</v>
      </c>
    </row>
    <row r="852" spans="1:8" hidden="1" x14ac:dyDescent="0.2">
      <c r="A852" s="91">
        <v>20</v>
      </c>
      <c r="B852" s="93"/>
      <c r="C852" s="114">
        <f t="shared" si="165"/>
        <v>902.06000000000006</v>
      </c>
      <c r="D852" s="94">
        <f t="shared" si="165"/>
        <v>604.20000000000005</v>
      </c>
      <c r="E852" s="94">
        <f t="shared" si="165"/>
        <v>591.48</v>
      </c>
      <c r="F852" s="94">
        <f t="shared" si="165"/>
        <v>558.09</v>
      </c>
      <c r="G852" s="94">
        <f t="shared" si="165"/>
        <v>508.8</v>
      </c>
      <c r="H852" s="95">
        <f t="shared" si="165"/>
        <v>396.44</v>
      </c>
    </row>
    <row r="853" spans="1:8" hidden="1" x14ac:dyDescent="0.2">
      <c r="A853" s="91">
        <v>21</v>
      </c>
      <c r="B853" s="93"/>
      <c r="C853" s="114">
        <f t="shared" si="165"/>
        <v>997.99</v>
      </c>
      <c r="D853" s="94">
        <f t="shared" si="165"/>
        <v>614.27</v>
      </c>
      <c r="E853" s="94">
        <f t="shared" si="165"/>
        <v>602.08000000000004</v>
      </c>
      <c r="F853" s="94">
        <f t="shared" si="165"/>
        <v>567.1</v>
      </c>
      <c r="G853" s="94">
        <f t="shared" si="165"/>
        <v>517.28</v>
      </c>
      <c r="H853" s="95">
        <f t="shared" si="165"/>
        <v>404.92</v>
      </c>
    </row>
    <row r="854" spans="1:8" hidden="1" x14ac:dyDescent="0.2">
      <c r="A854" s="91">
        <v>22</v>
      </c>
      <c r="B854" s="93"/>
      <c r="C854" s="114">
        <f t="shared" si="165"/>
        <v>1125.19</v>
      </c>
      <c r="D854" s="94">
        <f t="shared" si="165"/>
        <v>624.87</v>
      </c>
      <c r="E854" s="94">
        <f t="shared" si="165"/>
        <v>612.15</v>
      </c>
      <c r="F854" s="94">
        <f t="shared" si="165"/>
        <v>577.17000000000007</v>
      </c>
      <c r="G854" s="94">
        <f t="shared" si="165"/>
        <v>526.29000000000008</v>
      </c>
      <c r="H854" s="95">
        <f t="shared" si="165"/>
        <v>413.40000000000003</v>
      </c>
    </row>
    <row r="855" spans="1:8" hidden="1" x14ac:dyDescent="0.2">
      <c r="A855" s="91">
        <v>23</v>
      </c>
      <c r="B855" s="93"/>
      <c r="C855" s="114">
        <f t="shared" si="165"/>
        <v>1304.3300000000002</v>
      </c>
      <c r="D855" s="94">
        <f t="shared" si="165"/>
        <v>635.47</v>
      </c>
      <c r="E855" s="94">
        <f t="shared" si="165"/>
        <v>622.22</v>
      </c>
      <c r="F855" s="94">
        <f t="shared" si="165"/>
        <v>586.71</v>
      </c>
      <c r="G855" s="94">
        <f t="shared" si="165"/>
        <v>534.24</v>
      </c>
      <c r="H855" s="95">
        <f t="shared" si="165"/>
        <v>422.41</v>
      </c>
    </row>
    <row r="856" spans="1:8" hidden="1" x14ac:dyDescent="0.2">
      <c r="A856" s="91">
        <v>24</v>
      </c>
      <c r="B856" s="93"/>
      <c r="C856" s="114">
        <f t="shared" si="165"/>
        <v>1428.3500000000001</v>
      </c>
      <c r="D856" s="94">
        <f t="shared" si="165"/>
        <v>646.07000000000005</v>
      </c>
      <c r="E856" s="94">
        <f t="shared" si="165"/>
        <v>632.82000000000005</v>
      </c>
      <c r="F856" s="94">
        <f t="shared" si="165"/>
        <v>596.25</v>
      </c>
      <c r="G856" s="94">
        <f t="shared" si="165"/>
        <v>543.25</v>
      </c>
      <c r="H856" s="95">
        <f t="shared" si="165"/>
        <v>430.89000000000004</v>
      </c>
    </row>
    <row r="857" spans="1:8" hidden="1" x14ac:dyDescent="0.2">
      <c r="A857" s="91">
        <v>25</v>
      </c>
      <c r="B857" s="93"/>
      <c r="C857" s="114">
        <f t="shared" si="165"/>
        <v>1688.0500000000002</v>
      </c>
      <c r="D857" s="94">
        <f t="shared" si="165"/>
        <v>655.61</v>
      </c>
      <c r="E857" s="94">
        <f t="shared" si="165"/>
        <v>642.36</v>
      </c>
      <c r="F857" s="94">
        <f t="shared" si="165"/>
        <v>605.26</v>
      </c>
      <c r="G857" s="94">
        <f t="shared" si="165"/>
        <v>552.79000000000008</v>
      </c>
      <c r="H857" s="95">
        <f t="shared" si="165"/>
        <v>439.90000000000003</v>
      </c>
    </row>
    <row r="858" spans="1:8" hidden="1" x14ac:dyDescent="0.2">
      <c r="A858" s="91">
        <v>26</v>
      </c>
      <c r="B858" s="93"/>
      <c r="C858" s="114">
        <f t="shared" si="165"/>
        <v>1779.74</v>
      </c>
      <c r="D858" s="94">
        <f t="shared" si="165"/>
        <v>666.21</v>
      </c>
      <c r="E858" s="94">
        <f t="shared" si="165"/>
        <v>652.96</v>
      </c>
      <c r="F858" s="94">
        <f t="shared" si="165"/>
        <v>615.33000000000004</v>
      </c>
      <c r="G858" s="94">
        <f t="shared" si="165"/>
        <v>560.74</v>
      </c>
      <c r="H858" s="95">
        <f t="shared" si="165"/>
        <v>448.38</v>
      </c>
    </row>
    <row r="859" spans="1:8" hidden="1" x14ac:dyDescent="0.2">
      <c r="A859" s="91">
        <v>27</v>
      </c>
      <c r="B859" s="93"/>
      <c r="C859" s="114">
        <f t="shared" si="165"/>
        <v>2003.4</v>
      </c>
      <c r="D859" s="94">
        <f t="shared" si="165"/>
        <v>676.28000000000009</v>
      </c>
      <c r="E859" s="94">
        <f t="shared" si="165"/>
        <v>663.03000000000009</v>
      </c>
      <c r="F859" s="94">
        <f t="shared" si="165"/>
        <v>624.87</v>
      </c>
      <c r="G859" s="94">
        <f t="shared" si="165"/>
        <v>569.75</v>
      </c>
      <c r="H859" s="95">
        <f t="shared" si="165"/>
        <v>457.39000000000004</v>
      </c>
    </row>
    <row r="860" spans="1:8" hidden="1" x14ac:dyDescent="0.2">
      <c r="A860" s="91">
        <v>28</v>
      </c>
      <c r="B860" s="93"/>
      <c r="C860" s="114">
        <f t="shared" ref="C860:H869" si="166">+C788*$L$2</f>
        <v>2228.65</v>
      </c>
      <c r="D860" s="94">
        <f t="shared" si="166"/>
        <v>689</v>
      </c>
      <c r="E860" s="94">
        <f t="shared" si="166"/>
        <v>675.22</v>
      </c>
      <c r="F860" s="94">
        <f t="shared" si="166"/>
        <v>636</v>
      </c>
      <c r="G860" s="94">
        <f t="shared" si="166"/>
        <v>579.82000000000005</v>
      </c>
      <c r="H860" s="95">
        <f t="shared" si="166"/>
        <v>467.46000000000004</v>
      </c>
    </row>
    <row r="861" spans="1:8" hidden="1" x14ac:dyDescent="0.2">
      <c r="A861" s="91">
        <v>29</v>
      </c>
      <c r="B861" s="93"/>
      <c r="C861" s="114">
        <f t="shared" si="166"/>
        <v>2451.7800000000002</v>
      </c>
      <c r="D861" s="94">
        <f t="shared" si="166"/>
        <v>700.66000000000008</v>
      </c>
      <c r="E861" s="94">
        <f t="shared" si="166"/>
        <v>686.88</v>
      </c>
      <c r="F861" s="94">
        <f t="shared" si="166"/>
        <v>647.13</v>
      </c>
      <c r="G861" s="94">
        <f t="shared" si="166"/>
        <v>589.89</v>
      </c>
      <c r="H861" s="95">
        <f t="shared" si="166"/>
        <v>478.59000000000003</v>
      </c>
    </row>
    <row r="862" spans="1:8" hidden="1" x14ac:dyDescent="0.2">
      <c r="A862" s="91">
        <v>30</v>
      </c>
      <c r="B862" s="93"/>
      <c r="C862" s="114">
        <f t="shared" si="166"/>
        <v>2674.9100000000003</v>
      </c>
      <c r="D862" s="94">
        <f t="shared" si="166"/>
        <v>713.38</v>
      </c>
      <c r="E862" s="94">
        <f t="shared" si="166"/>
        <v>698.54000000000008</v>
      </c>
      <c r="F862" s="94">
        <f t="shared" si="166"/>
        <v>658.26</v>
      </c>
      <c r="G862" s="94">
        <f t="shared" si="166"/>
        <v>600.49</v>
      </c>
      <c r="H862" s="95">
        <f t="shared" si="166"/>
        <v>489.72</v>
      </c>
    </row>
    <row r="863" spans="1:8" hidden="1" x14ac:dyDescent="0.2">
      <c r="A863" s="91">
        <v>31</v>
      </c>
      <c r="B863" s="93"/>
      <c r="C863" s="114">
        <f t="shared" si="166"/>
        <v>2686.04</v>
      </c>
      <c r="D863" s="94">
        <f t="shared" si="166"/>
        <v>725.04000000000008</v>
      </c>
      <c r="E863" s="94">
        <f t="shared" si="166"/>
        <v>710.73</v>
      </c>
      <c r="F863" s="94">
        <f t="shared" si="166"/>
        <v>669.39</v>
      </c>
      <c r="G863" s="94">
        <f t="shared" si="166"/>
        <v>611.09</v>
      </c>
      <c r="H863" s="95">
        <f t="shared" si="166"/>
        <v>500.32000000000005</v>
      </c>
    </row>
    <row r="864" spans="1:8" hidden="1" x14ac:dyDescent="0.2">
      <c r="A864" s="91">
        <v>32</v>
      </c>
      <c r="B864" s="93"/>
      <c r="C864" s="114">
        <f t="shared" si="166"/>
        <v>2696.6400000000003</v>
      </c>
      <c r="D864" s="94">
        <f t="shared" si="166"/>
        <v>737.76</v>
      </c>
      <c r="E864" s="94">
        <f t="shared" si="166"/>
        <v>722.39</v>
      </c>
      <c r="F864" s="94">
        <f t="shared" si="166"/>
        <v>681.05000000000007</v>
      </c>
      <c r="G864" s="94">
        <f t="shared" si="166"/>
        <v>620.63</v>
      </c>
      <c r="H864" s="95">
        <f t="shared" si="166"/>
        <v>511.45000000000005</v>
      </c>
    </row>
    <row r="865" spans="1:8" hidden="1" x14ac:dyDescent="0.2">
      <c r="A865" s="91">
        <v>33</v>
      </c>
      <c r="B865" s="93"/>
      <c r="C865" s="114">
        <f t="shared" si="166"/>
        <v>2997.6800000000003</v>
      </c>
      <c r="D865" s="94">
        <f t="shared" si="166"/>
        <v>757.90000000000009</v>
      </c>
      <c r="E865" s="94">
        <f t="shared" si="166"/>
        <v>742.53000000000009</v>
      </c>
      <c r="F865" s="94">
        <f t="shared" si="166"/>
        <v>699.6</v>
      </c>
      <c r="G865" s="94">
        <f t="shared" si="166"/>
        <v>638.12</v>
      </c>
      <c r="H865" s="95">
        <f t="shared" si="166"/>
        <v>526.82000000000005</v>
      </c>
    </row>
    <row r="866" spans="1:8" hidden="1" x14ac:dyDescent="0.2">
      <c r="A866" s="91">
        <v>34</v>
      </c>
      <c r="B866" s="93"/>
      <c r="C866" s="114">
        <f t="shared" si="166"/>
        <v>3299.25</v>
      </c>
      <c r="D866" s="94">
        <f t="shared" si="166"/>
        <v>778.04000000000008</v>
      </c>
      <c r="E866" s="94">
        <f t="shared" si="166"/>
        <v>762.14</v>
      </c>
      <c r="F866" s="94">
        <f t="shared" si="166"/>
        <v>718.15000000000009</v>
      </c>
      <c r="G866" s="94">
        <f t="shared" si="166"/>
        <v>655.08000000000004</v>
      </c>
      <c r="H866" s="95">
        <f t="shared" si="166"/>
        <v>542.72</v>
      </c>
    </row>
    <row r="867" spans="1:8" hidden="1" x14ac:dyDescent="0.2">
      <c r="A867" s="91">
        <v>35</v>
      </c>
      <c r="B867" s="93"/>
      <c r="C867" s="114">
        <f t="shared" si="166"/>
        <v>3449.2400000000002</v>
      </c>
      <c r="D867" s="94">
        <f t="shared" si="166"/>
        <v>798.18000000000006</v>
      </c>
      <c r="E867" s="94">
        <f t="shared" si="166"/>
        <v>782.28000000000009</v>
      </c>
      <c r="F867" s="94">
        <f t="shared" si="166"/>
        <v>737.23</v>
      </c>
      <c r="G867" s="94">
        <f t="shared" si="166"/>
        <v>672.04000000000008</v>
      </c>
      <c r="H867" s="95">
        <f t="shared" si="166"/>
        <v>558.09</v>
      </c>
    </row>
    <row r="868" spans="1:8" hidden="1" x14ac:dyDescent="0.2">
      <c r="A868" s="91">
        <v>36</v>
      </c>
      <c r="B868" s="93"/>
      <c r="C868" s="114">
        <f t="shared" si="166"/>
        <v>3473.6200000000003</v>
      </c>
      <c r="D868" s="94">
        <f t="shared" si="166"/>
        <v>818.32</v>
      </c>
      <c r="E868" s="94">
        <f t="shared" si="166"/>
        <v>801.89</v>
      </c>
      <c r="F868" s="94">
        <f t="shared" si="166"/>
        <v>755.78000000000009</v>
      </c>
      <c r="G868" s="94">
        <f t="shared" si="166"/>
        <v>689</v>
      </c>
      <c r="H868" s="95">
        <f t="shared" si="166"/>
        <v>573.99</v>
      </c>
    </row>
    <row r="869" spans="1:8" hidden="1" x14ac:dyDescent="0.2">
      <c r="A869" s="91">
        <v>37</v>
      </c>
      <c r="B869" s="93"/>
      <c r="C869" s="114">
        <f t="shared" si="166"/>
        <v>3909.28</v>
      </c>
      <c r="D869" s="94">
        <f t="shared" si="166"/>
        <v>838.46</v>
      </c>
      <c r="E869" s="94">
        <f t="shared" si="166"/>
        <v>822.03000000000009</v>
      </c>
      <c r="F869" s="94">
        <f t="shared" si="166"/>
        <v>774.33</v>
      </c>
      <c r="G869" s="94">
        <f t="shared" si="166"/>
        <v>706.49</v>
      </c>
      <c r="H869" s="95">
        <f t="shared" si="166"/>
        <v>589.36</v>
      </c>
    </row>
    <row r="870" spans="1:8" hidden="1" x14ac:dyDescent="0.2">
      <c r="A870" s="91">
        <v>38</v>
      </c>
      <c r="B870" s="93"/>
      <c r="C870" s="114">
        <f t="shared" ref="C870:H873" si="167">+C798*$L$2</f>
        <v>4344.9400000000005</v>
      </c>
      <c r="D870" s="94">
        <f t="shared" si="167"/>
        <v>859.66000000000008</v>
      </c>
      <c r="E870" s="94">
        <f t="shared" si="167"/>
        <v>842.17000000000007</v>
      </c>
      <c r="F870" s="94">
        <f t="shared" si="167"/>
        <v>793.41000000000008</v>
      </c>
      <c r="G870" s="94">
        <f t="shared" si="167"/>
        <v>723.98</v>
      </c>
      <c r="H870" s="95">
        <f t="shared" si="167"/>
        <v>606.32000000000005</v>
      </c>
    </row>
    <row r="871" spans="1:8" hidden="1" x14ac:dyDescent="0.2">
      <c r="A871" s="91">
        <v>39</v>
      </c>
      <c r="B871" s="93"/>
      <c r="C871" s="114">
        <f t="shared" si="167"/>
        <v>4781.13</v>
      </c>
      <c r="D871" s="94">
        <f t="shared" si="167"/>
        <v>879.80000000000007</v>
      </c>
      <c r="E871" s="94">
        <f t="shared" si="167"/>
        <v>862.31000000000006</v>
      </c>
      <c r="F871" s="94">
        <f t="shared" si="167"/>
        <v>813.0200000000001</v>
      </c>
      <c r="G871" s="94">
        <f t="shared" si="167"/>
        <v>740.94</v>
      </c>
      <c r="H871" s="95">
        <f t="shared" si="167"/>
        <v>622.75</v>
      </c>
    </row>
    <row r="872" spans="1:8" hidden="1" x14ac:dyDescent="0.2">
      <c r="A872" s="91">
        <v>40</v>
      </c>
      <c r="B872" s="93"/>
      <c r="C872" s="114">
        <f t="shared" si="167"/>
        <v>5216.26</v>
      </c>
      <c r="D872" s="94">
        <f t="shared" si="167"/>
        <v>900.47</v>
      </c>
      <c r="E872" s="94">
        <f t="shared" si="167"/>
        <v>882.45</v>
      </c>
      <c r="F872" s="94">
        <f t="shared" si="167"/>
        <v>831.57</v>
      </c>
      <c r="G872" s="94">
        <f t="shared" si="167"/>
        <v>757.90000000000009</v>
      </c>
      <c r="H872" s="95">
        <f t="shared" si="167"/>
        <v>639.71</v>
      </c>
    </row>
    <row r="873" spans="1:8" hidden="1" x14ac:dyDescent="0.2">
      <c r="A873" s="91">
        <v>41</v>
      </c>
      <c r="B873" s="93"/>
      <c r="C873" s="114">
        <f t="shared" si="167"/>
        <v>5698.56</v>
      </c>
      <c r="D873" s="94">
        <f t="shared" si="167"/>
        <v>921.1400000000001</v>
      </c>
      <c r="E873" s="94">
        <f t="shared" si="167"/>
        <v>902.59</v>
      </c>
      <c r="F873" s="94">
        <f t="shared" si="167"/>
        <v>850.65000000000009</v>
      </c>
      <c r="G873" s="94">
        <f t="shared" si="167"/>
        <v>775.39</v>
      </c>
      <c r="H873" s="95">
        <f t="shared" si="167"/>
        <v>656.14</v>
      </c>
    </row>
    <row r="874" spans="1:8" hidden="1" x14ac:dyDescent="0.2">
      <c r="A874" s="91">
        <v>42</v>
      </c>
      <c r="B874" s="93"/>
      <c r="C874" s="114"/>
      <c r="D874" s="94">
        <f t="shared" ref="D874:H874" si="168">+D802*$L$2</f>
        <v>941.81000000000006</v>
      </c>
      <c r="E874" s="94">
        <f t="shared" si="168"/>
        <v>922.73</v>
      </c>
      <c r="F874" s="94">
        <f t="shared" si="168"/>
        <v>869.73</v>
      </c>
      <c r="G874" s="94">
        <f t="shared" si="168"/>
        <v>792.88</v>
      </c>
      <c r="H874" s="95">
        <f t="shared" si="168"/>
        <v>673.63</v>
      </c>
    </row>
    <row r="875" spans="1:8" hidden="1" x14ac:dyDescent="0.2">
      <c r="A875" s="91">
        <v>43</v>
      </c>
      <c r="B875" s="93"/>
      <c r="C875" s="114"/>
      <c r="D875" s="94">
        <f t="shared" ref="D875:H875" si="169">+D803*$L$2</f>
        <v>978.91000000000008</v>
      </c>
      <c r="E875" s="94">
        <f t="shared" si="169"/>
        <v>959.83</v>
      </c>
      <c r="F875" s="94">
        <f t="shared" si="169"/>
        <v>904.18000000000006</v>
      </c>
      <c r="G875" s="94">
        <f t="shared" si="169"/>
        <v>824.68000000000006</v>
      </c>
      <c r="H875" s="95">
        <f t="shared" si="169"/>
        <v>702.78000000000009</v>
      </c>
    </row>
    <row r="876" spans="1:8" hidden="1" x14ac:dyDescent="0.2">
      <c r="A876" s="91">
        <v>44</v>
      </c>
      <c r="B876" s="93"/>
      <c r="C876" s="114"/>
      <c r="D876" s="94">
        <f t="shared" ref="D876:H876" si="170">+D804*$L$2</f>
        <v>1016.5400000000001</v>
      </c>
      <c r="E876" s="94">
        <f t="shared" si="170"/>
        <v>995.87</v>
      </c>
      <c r="F876" s="94">
        <f t="shared" si="170"/>
        <v>938.63</v>
      </c>
      <c r="G876" s="94">
        <f t="shared" si="170"/>
        <v>855.95</v>
      </c>
      <c r="H876" s="95">
        <f t="shared" si="170"/>
        <v>732.99</v>
      </c>
    </row>
    <row r="877" spans="1:8" hidden="1" x14ac:dyDescent="0.2">
      <c r="A877" s="91">
        <v>45</v>
      </c>
      <c r="B877" s="93"/>
      <c r="C877" s="114"/>
      <c r="D877" s="94">
        <f t="shared" ref="D877:H877" si="171">+D805*$L$2</f>
        <v>1054.17</v>
      </c>
      <c r="E877" s="94">
        <f t="shared" si="171"/>
        <v>1032.97</v>
      </c>
      <c r="F877" s="94">
        <f t="shared" si="171"/>
        <v>973.61</v>
      </c>
      <c r="G877" s="94">
        <f t="shared" si="171"/>
        <v>887.22</v>
      </c>
      <c r="H877" s="95">
        <f t="shared" si="171"/>
        <v>762.67000000000007</v>
      </c>
    </row>
    <row r="878" spans="1:8" hidden="1" x14ac:dyDescent="0.2">
      <c r="A878" s="91">
        <v>46</v>
      </c>
      <c r="B878" s="93"/>
      <c r="C878" s="114"/>
      <c r="D878" s="94">
        <f t="shared" ref="D878:H878" si="172">+D806*$L$2</f>
        <v>1091.27</v>
      </c>
      <c r="E878" s="94">
        <f t="shared" si="172"/>
        <v>1069.54</v>
      </c>
      <c r="F878" s="94">
        <f t="shared" si="172"/>
        <v>1007.5300000000001</v>
      </c>
      <c r="G878" s="94">
        <f t="shared" si="172"/>
        <v>919.55000000000007</v>
      </c>
      <c r="H878" s="95">
        <f t="shared" si="172"/>
        <v>791.82</v>
      </c>
    </row>
    <row r="879" spans="1:8" hidden="1" x14ac:dyDescent="0.2">
      <c r="A879" s="91">
        <v>47</v>
      </c>
      <c r="B879" s="93"/>
      <c r="C879" s="114"/>
      <c r="D879" s="94">
        <f t="shared" ref="D879:H879" si="173">+D807*$L$2</f>
        <v>1128.9000000000001</v>
      </c>
      <c r="E879" s="94">
        <f t="shared" si="173"/>
        <v>1106.6400000000001</v>
      </c>
      <c r="F879" s="94">
        <f t="shared" si="173"/>
        <v>1042.51</v>
      </c>
      <c r="G879" s="94">
        <f t="shared" si="173"/>
        <v>950.82</v>
      </c>
      <c r="H879" s="95">
        <f t="shared" si="173"/>
        <v>822.03000000000009</v>
      </c>
    </row>
    <row r="880" spans="1:8" hidden="1" x14ac:dyDescent="0.2">
      <c r="A880" s="91">
        <v>48</v>
      </c>
      <c r="B880" s="93"/>
      <c r="C880" s="114"/>
      <c r="D880" s="94">
        <f t="shared" ref="D880:H880" si="174">+D808*$L$2</f>
        <v>1168.6500000000001</v>
      </c>
      <c r="E880" s="94">
        <f t="shared" si="174"/>
        <v>1144.8</v>
      </c>
      <c r="F880" s="94">
        <f t="shared" si="174"/>
        <v>1079.6100000000001</v>
      </c>
      <c r="G880" s="94">
        <f t="shared" si="174"/>
        <v>984.21</v>
      </c>
      <c r="H880" s="95">
        <f t="shared" si="174"/>
        <v>852.24</v>
      </c>
    </row>
    <row r="881" spans="1:8" hidden="1" x14ac:dyDescent="0.2">
      <c r="A881" s="91">
        <v>49</v>
      </c>
      <c r="B881" s="93"/>
      <c r="C881" s="114"/>
      <c r="D881" s="94">
        <f t="shared" ref="D881:H881" si="175">+D809*$L$2</f>
        <v>1207.8700000000001</v>
      </c>
      <c r="E881" s="94">
        <f t="shared" si="175"/>
        <v>1183.49</v>
      </c>
      <c r="F881" s="94">
        <f t="shared" si="175"/>
        <v>1115.6500000000001</v>
      </c>
      <c r="G881" s="94">
        <f t="shared" si="175"/>
        <v>1017.6</v>
      </c>
      <c r="H881" s="95">
        <f t="shared" si="175"/>
        <v>884.04000000000008</v>
      </c>
    </row>
    <row r="882" spans="1:8" hidden="1" x14ac:dyDescent="0.2">
      <c r="A882" s="91">
        <v>50</v>
      </c>
      <c r="B882" s="93"/>
      <c r="C882" s="114"/>
      <c r="D882" s="94">
        <f t="shared" ref="D882:H882" si="176">+D810*$L$2</f>
        <v>1247.6200000000001</v>
      </c>
      <c r="E882" s="94">
        <f t="shared" si="176"/>
        <v>1222.71</v>
      </c>
      <c r="F882" s="94">
        <f t="shared" si="176"/>
        <v>1152.22</v>
      </c>
      <c r="G882" s="94">
        <f t="shared" si="176"/>
        <v>1050.99</v>
      </c>
      <c r="H882" s="95">
        <f t="shared" si="176"/>
        <v>914.25</v>
      </c>
    </row>
    <row r="883" spans="1:8" hidden="1" x14ac:dyDescent="0.2">
      <c r="A883" s="91">
        <v>51</v>
      </c>
      <c r="B883" s="93"/>
      <c r="C883" s="114"/>
      <c r="D883" s="94">
        <f t="shared" ref="D883:H883" si="177">+D811*$L$2</f>
        <v>1287.3700000000001</v>
      </c>
      <c r="E883" s="94">
        <f t="shared" si="177"/>
        <v>1261.93</v>
      </c>
      <c r="F883" s="94">
        <f t="shared" si="177"/>
        <v>1188.79</v>
      </c>
      <c r="G883" s="94">
        <f t="shared" si="177"/>
        <v>1084.3800000000001</v>
      </c>
      <c r="H883" s="95">
        <f t="shared" si="177"/>
        <v>945.5200000000001</v>
      </c>
    </row>
    <row r="884" spans="1:8" hidden="1" x14ac:dyDescent="0.2">
      <c r="A884" s="91">
        <v>52</v>
      </c>
      <c r="B884" s="93"/>
      <c r="C884" s="114"/>
      <c r="D884" s="94">
        <f t="shared" ref="D884:H884" si="178">+D812*$L$2</f>
        <v>1327.1200000000001</v>
      </c>
      <c r="E884" s="94">
        <f t="shared" si="178"/>
        <v>1300.0900000000001</v>
      </c>
      <c r="F884" s="94">
        <f t="shared" si="178"/>
        <v>1225.3600000000001</v>
      </c>
      <c r="G884" s="94">
        <f t="shared" si="178"/>
        <v>1117.77</v>
      </c>
      <c r="H884" s="95">
        <f t="shared" si="178"/>
        <v>976.2600000000001</v>
      </c>
    </row>
    <row r="885" spans="1:8" hidden="1" x14ac:dyDescent="0.2">
      <c r="A885" s="91">
        <v>53</v>
      </c>
      <c r="B885" s="93"/>
      <c r="C885" s="114"/>
      <c r="D885" s="94">
        <f t="shared" ref="D885:H885" si="179">+D813*$L$2</f>
        <v>1373.76</v>
      </c>
      <c r="E885" s="94">
        <f t="shared" si="179"/>
        <v>1346.73</v>
      </c>
      <c r="F885" s="94">
        <f t="shared" si="179"/>
        <v>1268.8200000000002</v>
      </c>
      <c r="G885" s="94">
        <f t="shared" si="179"/>
        <v>1156.46</v>
      </c>
      <c r="H885" s="95">
        <f t="shared" si="179"/>
        <v>1014.4200000000001</v>
      </c>
    </row>
    <row r="886" spans="1:8" hidden="1" x14ac:dyDescent="0.2">
      <c r="A886" s="91">
        <v>54</v>
      </c>
      <c r="B886" s="93"/>
      <c r="C886" s="114"/>
      <c r="D886" s="94">
        <f t="shared" ref="D886:H886" si="180">+D814*$L$2</f>
        <v>1420.93</v>
      </c>
      <c r="E886" s="94">
        <f t="shared" si="180"/>
        <v>1392.3100000000002</v>
      </c>
      <c r="F886" s="94">
        <f t="shared" si="180"/>
        <v>1312.28</v>
      </c>
      <c r="G886" s="94">
        <f t="shared" si="180"/>
        <v>1196.21</v>
      </c>
      <c r="H886" s="95">
        <f t="shared" si="180"/>
        <v>1052.05</v>
      </c>
    </row>
    <row r="887" spans="1:8" hidden="1" x14ac:dyDescent="0.2">
      <c r="A887" s="91">
        <v>55</v>
      </c>
      <c r="B887" s="93"/>
      <c r="C887" s="114"/>
      <c r="D887" s="94">
        <f t="shared" ref="D887:H887" si="181">+D815*$L$2</f>
        <v>1467.5700000000002</v>
      </c>
      <c r="E887" s="94">
        <f t="shared" si="181"/>
        <v>1438.42</v>
      </c>
      <c r="F887" s="94">
        <f t="shared" si="181"/>
        <v>1355.74</v>
      </c>
      <c r="G887" s="94">
        <f t="shared" si="181"/>
        <v>1235.96</v>
      </c>
      <c r="H887" s="95">
        <f t="shared" si="181"/>
        <v>1090.74</v>
      </c>
    </row>
    <row r="888" spans="1:8" hidden="1" x14ac:dyDescent="0.2">
      <c r="A888" s="91">
        <v>56</v>
      </c>
      <c r="B888" s="93"/>
      <c r="C888" s="114"/>
      <c r="D888" s="94">
        <f t="shared" ref="D888:H888" si="182">+D816*$L$2</f>
        <v>1514.74</v>
      </c>
      <c r="E888" s="94">
        <f t="shared" si="182"/>
        <v>1484.53</v>
      </c>
      <c r="F888" s="94">
        <f t="shared" si="182"/>
        <v>1398.67</v>
      </c>
      <c r="G888" s="94">
        <f t="shared" si="182"/>
        <v>1275.71</v>
      </c>
      <c r="H888" s="95">
        <f t="shared" si="182"/>
        <v>1127.8400000000001</v>
      </c>
    </row>
    <row r="889" spans="1:8" hidden="1" x14ac:dyDescent="0.2">
      <c r="A889" s="91">
        <v>57</v>
      </c>
      <c r="B889" s="93"/>
      <c r="C889" s="114"/>
      <c r="D889" s="94">
        <f t="shared" ref="D889:H889" si="183">+D817*$L$2</f>
        <v>1561.38</v>
      </c>
      <c r="E889" s="94">
        <f t="shared" si="183"/>
        <v>1530.1100000000001</v>
      </c>
      <c r="F889" s="94">
        <f t="shared" si="183"/>
        <v>1442.13</v>
      </c>
      <c r="G889" s="94">
        <f t="shared" si="183"/>
        <v>1314.4</v>
      </c>
      <c r="H889" s="95">
        <f t="shared" si="183"/>
        <v>1166.53</v>
      </c>
    </row>
    <row r="890" spans="1:8" hidden="1" x14ac:dyDescent="0.2">
      <c r="A890" s="91">
        <v>58</v>
      </c>
      <c r="B890" s="93"/>
      <c r="C890" s="114"/>
      <c r="D890" s="94">
        <f t="shared" ref="D890:H890" si="184">+D818*$L$2</f>
        <v>1615.97</v>
      </c>
      <c r="E890" s="94">
        <f t="shared" si="184"/>
        <v>1583.1100000000001</v>
      </c>
      <c r="F890" s="94">
        <f t="shared" si="184"/>
        <v>1487.71</v>
      </c>
      <c r="G890" s="94">
        <f t="shared" si="184"/>
        <v>1360.51</v>
      </c>
      <c r="H890" s="95">
        <f t="shared" si="184"/>
        <v>1215.8200000000002</v>
      </c>
    </row>
    <row r="891" spans="1:8" hidden="1" x14ac:dyDescent="0.2">
      <c r="A891" s="91">
        <v>59</v>
      </c>
      <c r="B891" s="93"/>
      <c r="C891" s="114"/>
      <c r="D891" s="94">
        <f t="shared" ref="D891:H891" si="185">+D819*$L$2</f>
        <v>1669.5</v>
      </c>
      <c r="E891" s="94">
        <f t="shared" si="185"/>
        <v>1636.1100000000001</v>
      </c>
      <c r="F891" s="94">
        <f t="shared" si="185"/>
        <v>1533.29</v>
      </c>
      <c r="G891" s="94">
        <f t="shared" si="185"/>
        <v>1405.5600000000002</v>
      </c>
      <c r="H891" s="95">
        <f t="shared" si="185"/>
        <v>1265.1100000000001</v>
      </c>
    </row>
    <row r="892" spans="1:8" hidden="1" x14ac:dyDescent="0.2">
      <c r="A892" s="91">
        <v>60</v>
      </c>
      <c r="B892" s="93"/>
      <c r="C892" s="114"/>
      <c r="D892" s="94">
        <f t="shared" ref="D892:H892" si="186">+D820*$L$2</f>
        <v>1723.5600000000002</v>
      </c>
      <c r="E892" s="94">
        <f t="shared" si="186"/>
        <v>1689.1100000000001</v>
      </c>
      <c r="F892" s="94">
        <f t="shared" si="186"/>
        <v>1578.3400000000001</v>
      </c>
      <c r="G892" s="94">
        <f t="shared" si="186"/>
        <v>1451.67</v>
      </c>
      <c r="H892" s="95">
        <f t="shared" si="186"/>
        <v>1314.4</v>
      </c>
    </row>
    <row r="893" spans="1:8" hidden="1" x14ac:dyDescent="0.2">
      <c r="A893" s="91">
        <v>61</v>
      </c>
      <c r="B893" s="93"/>
      <c r="C893" s="114"/>
      <c r="D893" s="94">
        <f t="shared" ref="D893:H893" si="187">+D821*$L$2</f>
        <v>1789.2800000000002</v>
      </c>
      <c r="E893" s="94">
        <f t="shared" si="187"/>
        <v>1753.24</v>
      </c>
      <c r="F893" s="94">
        <f t="shared" si="187"/>
        <v>1646.71</v>
      </c>
      <c r="G893" s="94">
        <f t="shared" si="187"/>
        <v>1506.79</v>
      </c>
      <c r="H893" s="95">
        <f t="shared" si="187"/>
        <v>1363.16</v>
      </c>
    </row>
    <row r="894" spans="1:8" hidden="1" x14ac:dyDescent="0.2">
      <c r="A894" s="91">
        <v>62</v>
      </c>
      <c r="B894" s="93"/>
      <c r="C894" s="114"/>
      <c r="D894" s="94">
        <f t="shared" ref="D894:H894" si="188">+D822*$L$2</f>
        <v>1869.8400000000001</v>
      </c>
      <c r="E894" s="94">
        <f t="shared" si="188"/>
        <v>1832.21</v>
      </c>
      <c r="F894" s="94">
        <f t="shared" si="188"/>
        <v>1727.27</v>
      </c>
      <c r="G894" s="94">
        <f t="shared" si="188"/>
        <v>1574.63</v>
      </c>
      <c r="H894" s="95">
        <f t="shared" si="188"/>
        <v>1425.17</v>
      </c>
    </row>
    <row r="895" spans="1:8" hidden="1" x14ac:dyDescent="0.2">
      <c r="A895" s="91">
        <v>63</v>
      </c>
      <c r="B895" s="93"/>
      <c r="C895" s="114"/>
      <c r="D895" s="94">
        <f t="shared" ref="D895:H895" si="189">+D823*$L$2</f>
        <v>1965.7700000000002</v>
      </c>
      <c r="E895" s="94">
        <f t="shared" si="189"/>
        <v>1926.5500000000002</v>
      </c>
      <c r="F895" s="94">
        <f t="shared" si="189"/>
        <v>1815.7800000000002</v>
      </c>
      <c r="G895" s="94">
        <f t="shared" si="189"/>
        <v>1655.72</v>
      </c>
      <c r="H895" s="95">
        <f t="shared" si="189"/>
        <v>1498.3100000000002</v>
      </c>
    </row>
    <row r="896" spans="1:8" hidden="1" x14ac:dyDescent="0.2">
      <c r="A896" s="91">
        <v>64</v>
      </c>
      <c r="B896" s="93"/>
      <c r="C896" s="114"/>
      <c r="D896" s="94">
        <f t="shared" ref="D896:H896" si="190">+D824*$L$2</f>
        <v>2079.19</v>
      </c>
      <c r="E896" s="94">
        <f t="shared" si="190"/>
        <v>2037.8500000000001</v>
      </c>
      <c r="F896" s="94">
        <f t="shared" si="190"/>
        <v>1920.72</v>
      </c>
      <c r="G896" s="94">
        <f t="shared" si="190"/>
        <v>1751.1200000000001</v>
      </c>
      <c r="H896" s="95">
        <f t="shared" si="190"/>
        <v>1584.7</v>
      </c>
    </row>
    <row r="897" spans="1:8" hidden="1" x14ac:dyDescent="0.2">
      <c r="A897" s="91">
        <v>65</v>
      </c>
      <c r="B897" s="93"/>
      <c r="C897" s="114"/>
      <c r="D897" s="94">
        <f t="shared" ref="D897:H897" si="191">+D825*$L$2</f>
        <v>2214.87</v>
      </c>
      <c r="E897" s="94">
        <f t="shared" si="191"/>
        <v>2170.35</v>
      </c>
      <c r="F897" s="94">
        <f t="shared" si="191"/>
        <v>2045.8000000000002</v>
      </c>
      <c r="G897" s="94">
        <f t="shared" si="191"/>
        <v>1865.0700000000002</v>
      </c>
      <c r="H897" s="95">
        <f t="shared" si="191"/>
        <v>1702.89</v>
      </c>
    </row>
    <row r="898" spans="1:8" hidden="1" x14ac:dyDescent="0.2">
      <c r="A898" s="91">
        <v>66</v>
      </c>
      <c r="B898" s="93"/>
      <c r="C898" s="114"/>
      <c r="D898" s="94">
        <f t="shared" ref="D898:H898" si="192">+D826*$L$2</f>
        <v>2374.9300000000003</v>
      </c>
      <c r="E898" s="94">
        <f t="shared" si="192"/>
        <v>2327.23</v>
      </c>
      <c r="F898" s="94">
        <f t="shared" si="192"/>
        <v>2193.67</v>
      </c>
      <c r="G898" s="94">
        <f t="shared" si="192"/>
        <v>2000.22</v>
      </c>
      <c r="H898" s="95">
        <f t="shared" si="192"/>
        <v>1839.1000000000001</v>
      </c>
    </row>
    <row r="899" spans="1:8" hidden="1" x14ac:dyDescent="0.2">
      <c r="A899" s="91">
        <v>67</v>
      </c>
      <c r="B899" s="93"/>
      <c r="C899" s="114"/>
      <c r="D899" s="94">
        <f t="shared" ref="D899:H899" si="193">+D827*$L$2</f>
        <v>2564.67</v>
      </c>
      <c r="E899" s="94">
        <f t="shared" si="193"/>
        <v>2512.73</v>
      </c>
      <c r="F899" s="94">
        <f t="shared" si="193"/>
        <v>2368.04</v>
      </c>
      <c r="G899" s="94">
        <f t="shared" si="193"/>
        <v>2159.2200000000003</v>
      </c>
      <c r="H899" s="95">
        <f t="shared" si="193"/>
        <v>1987.5</v>
      </c>
    </row>
    <row r="900" spans="1:8" hidden="1" x14ac:dyDescent="0.2">
      <c r="A900" s="91">
        <v>68</v>
      </c>
      <c r="B900" s="93"/>
      <c r="C900" s="114"/>
      <c r="D900" s="94">
        <f t="shared" ref="D900:H900" si="194">+D828*$L$2</f>
        <v>2782.5</v>
      </c>
      <c r="E900" s="94">
        <f t="shared" si="194"/>
        <v>2726.8500000000004</v>
      </c>
      <c r="F900" s="94">
        <f t="shared" si="194"/>
        <v>2569.44</v>
      </c>
      <c r="G900" s="94">
        <f t="shared" si="194"/>
        <v>2342.6</v>
      </c>
      <c r="H900" s="95">
        <f t="shared" si="194"/>
        <v>2155.5100000000002</v>
      </c>
    </row>
    <row r="901" spans="1:8" hidden="1" x14ac:dyDescent="0.2">
      <c r="A901" s="91">
        <v>69</v>
      </c>
      <c r="B901" s="93"/>
      <c r="C901" s="114"/>
      <c r="D901" s="94">
        <f t="shared" ref="D901:H901" si="195">+D829*$L$2</f>
        <v>3036.3700000000003</v>
      </c>
      <c r="E901" s="94">
        <f t="shared" si="195"/>
        <v>2974.8900000000003</v>
      </c>
      <c r="F901" s="94">
        <f t="shared" si="195"/>
        <v>2803.7000000000003</v>
      </c>
      <c r="G901" s="94">
        <f t="shared" si="195"/>
        <v>2556.7200000000003</v>
      </c>
      <c r="H901" s="95">
        <f t="shared" si="195"/>
        <v>2353.73</v>
      </c>
    </row>
    <row r="902" spans="1:8" hidden="1" x14ac:dyDescent="0.2">
      <c r="A902" s="91">
        <v>70</v>
      </c>
      <c r="B902" s="93"/>
      <c r="C902" s="114"/>
      <c r="D902" s="94">
        <f t="shared" ref="D902:H902" si="196">+D830*$L$2</f>
        <v>3330.52</v>
      </c>
      <c r="E902" s="94">
        <f t="shared" si="196"/>
        <v>3263.21</v>
      </c>
      <c r="F902" s="94">
        <f t="shared" si="196"/>
        <v>3049.6200000000003</v>
      </c>
      <c r="G902" s="94">
        <f t="shared" si="196"/>
        <v>2804.76</v>
      </c>
      <c r="H902" s="95">
        <f t="shared" si="196"/>
        <v>2619.2600000000002</v>
      </c>
    </row>
    <row r="903" spans="1:8" hidden="1" x14ac:dyDescent="0.2">
      <c r="A903" s="91">
        <v>71</v>
      </c>
      <c r="B903" s="93"/>
      <c r="C903" s="114"/>
      <c r="D903" s="94">
        <f t="shared" ref="D903:H903" si="197">+D831*$L$2</f>
        <v>3667.6000000000004</v>
      </c>
      <c r="E903" s="94">
        <f t="shared" si="197"/>
        <v>3593.9300000000003</v>
      </c>
      <c r="F903" s="94">
        <f t="shared" si="197"/>
        <v>3387.23</v>
      </c>
      <c r="G903" s="94">
        <f t="shared" si="197"/>
        <v>3087.78</v>
      </c>
      <c r="H903" s="95">
        <f t="shared" si="197"/>
        <v>2883.73</v>
      </c>
    </row>
    <row r="904" spans="1:8" hidden="1" x14ac:dyDescent="0.2">
      <c r="A904" s="91">
        <v>72</v>
      </c>
      <c r="B904" s="93"/>
      <c r="C904" s="114"/>
      <c r="D904" s="94">
        <f t="shared" ref="D904:H904" si="198">+D832*$L$2</f>
        <v>4057.6800000000003</v>
      </c>
      <c r="E904" s="94">
        <f t="shared" si="198"/>
        <v>3975.53</v>
      </c>
      <c r="F904" s="94">
        <f t="shared" si="198"/>
        <v>3747.63</v>
      </c>
      <c r="G904" s="94">
        <f t="shared" si="198"/>
        <v>3416.9100000000003</v>
      </c>
      <c r="H904" s="95">
        <f t="shared" si="198"/>
        <v>3192.7200000000003</v>
      </c>
    </row>
    <row r="905" spans="1:8" hidden="1" x14ac:dyDescent="0.2">
      <c r="A905" s="91">
        <v>73</v>
      </c>
      <c r="B905" s="93"/>
      <c r="C905" s="114"/>
      <c r="D905" s="94">
        <f t="shared" ref="D905:H905" si="199">+D833*$L$2</f>
        <v>4506.59</v>
      </c>
      <c r="E905" s="94">
        <f t="shared" si="199"/>
        <v>4415.43</v>
      </c>
      <c r="F905" s="94">
        <f t="shared" si="199"/>
        <v>4162.09</v>
      </c>
      <c r="G905" s="94">
        <f t="shared" si="199"/>
        <v>3794.8</v>
      </c>
      <c r="H905" s="95">
        <f t="shared" si="199"/>
        <v>3543.5800000000004</v>
      </c>
    </row>
    <row r="906" spans="1:8" hidden="1" x14ac:dyDescent="0.2">
      <c r="A906" s="91">
        <v>74</v>
      </c>
      <c r="B906" s="93"/>
      <c r="C906" s="114"/>
      <c r="D906" s="94">
        <f t="shared" ref="D906:H906" si="200">+D834*$L$2</f>
        <v>5024.4000000000005</v>
      </c>
      <c r="E906" s="94">
        <f t="shared" si="200"/>
        <v>4923.7</v>
      </c>
      <c r="F906" s="94">
        <f t="shared" si="200"/>
        <v>4640.1500000000005</v>
      </c>
      <c r="G906" s="94">
        <f t="shared" si="200"/>
        <v>4230.46</v>
      </c>
      <c r="H906" s="95">
        <f t="shared" si="200"/>
        <v>3952.21</v>
      </c>
    </row>
    <row r="907" spans="1:8" hidden="1" x14ac:dyDescent="0.2">
      <c r="A907" s="91">
        <v>75</v>
      </c>
      <c r="B907" s="93"/>
      <c r="C907" s="114"/>
      <c r="D907" s="94">
        <f t="shared" ref="D907:H907" si="201">+D835*$L$2</f>
        <v>5618</v>
      </c>
      <c r="E907" s="94">
        <f t="shared" si="201"/>
        <v>5504.58</v>
      </c>
      <c r="F907" s="94">
        <f t="shared" si="201"/>
        <v>5166.4400000000005</v>
      </c>
      <c r="G907" s="94">
        <f t="shared" si="201"/>
        <v>4730.25</v>
      </c>
      <c r="H907" s="95">
        <f t="shared" si="201"/>
        <v>4446.17</v>
      </c>
    </row>
    <row r="908" spans="1:8" hidden="1" x14ac:dyDescent="0.2">
      <c r="A908" s="91">
        <v>76</v>
      </c>
      <c r="B908" s="93"/>
      <c r="C908" s="114"/>
      <c r="D908" s="94">
        <f t="shared" ref="D908:H908" si="202">+D836*$L$2</f>
        <v>6300.1100000000006</v>
      </c>
      <c r="E908" s="94">
        <f t="shared" si="202"/>
        <v>6172.9100000000008</v>
      </c>
      <c r="F908" s="94">
        <f t="shared" si="202"/>
        <v>5813.5700000000006</v>
      </c>
      <c r="G908" s="94">
        <f t="shared" si="202"/>
        <v>5304.2400000000007</v>
      </c>
      <c r="H908" s="95">
        <f t="shared" si="202"/>
        <v>4985.71</v>
      </c>
    </row>
    <row r="909" spans="1:8" hidden="1" x14ac:dyDescent="0.2">
      <c r="A909" s="91">
        <v>77</v>
      </c>
      <c r="B909" s="93"/>
      <c r="C909" s="114"/>
      <c r="D909" s="94">
        <f t="shared" ref="D909:H909" si="203">+D837*$L$2</f>
        <v>7075.5</v>
      </c>
      <c r="E909" s="94">
        <f t="shared" si="203"/>
        <v>6932.93</v>
      </c>
      <c r="F909" s="94">
        <f t="shared" si="203"/>
        <v>6533.84</v>
      </c>
      <c r="G909" s="94">
        <f t="shared" si="203"/>
        <v>5957.7300000000005</v>
      </c>
      <c r="H909" s="95">
        <f t="shared" si="203"/>
        <v>5599.4500000000007</v>
      </c>
    </row>
    <row r="910" spans="1:8" hidden="1" x14ac:dyDescent="0.2">
      <c r="A910" s="91">
        <v>78</v>
      </c>
      <c r="B910" s="93"/>
      <c r="C910" s="114"/>
      <c r="D910" s="94">
        <f t="shared" ref="D910:H910" si="204">+D838*$L$2</f>
        <v>7950</v>
      </c>
      <c r="E910" s="94">
        <f t="shared" si="204"/>
        <v>7789.9400000000005</v>
      </c>
      <c r="F910" s="94">
        <f t="shared" si="204"/>
        <v>7342.09</v>
      </c>
      <c r="G910" s="94">
        <f t="shared" si="204"/>
        <v>6693.9000000000005</v>
      </c>
      <c r="H910" s="95">
        <f t="shared" si="204"/>
        <v>6291.1</v>
      </c>
    </row>
    <row r="911" spans="1:8" hidden="1" x14ac:dyDescent="0.2">
      <c r="A911" s="91">
        <v>79</v>
      </c>
      <c r="B911" s="93"/>
      <c r="C911" s="114"/>
      <c r="D911" s="94">
        <f t="shared" ref="D911:H911" si="205">+D839*$L$2</f>
        <v>8932.6200000000008</v>
      </c>
      <c r="E911" s="94">
        <f t="shared" si="205"/>
        <v>8752.42</v>
      </c>
      <c r="F911" s="94">
        <f t="shared" si="205"/>
        <v>8249.4500000000007</v>
      </c>
      <c r="G911" s="94">
        <f t="shared" si="205"/>
        <v>7520.7000000000007</v>
      </c>
      <c r="H911" s="95">
        <f t="shared" si="205"/>
        <v>7069.14</v>
      </c>
    </row>
    <row r="912" spans="1:8" hidden="1" x14ac:dyDescent="0.2">
      <c r="A912" s="91">
        <v>80</v>
      </c>
      <c r="B912" s="158" t="s">
        <v>198</v>
      </c>
      <c r="C912" s="114"/>
      <c r="D912" s="94">
        <f t="shared" ref="D912:H912" si="206">+D840*$L$2</f>
        <v>10108.16</v>
      </c>
      <c r="E912" s="94">
        <f t="shared" si="206"/>
        <v>9904.11</v>
      </c>
      <c r="F912" s="94">
        <f t="shared" si="206"/>
        <v>9334.36</v>
      </c>
      <c r="G912" s="94">
        <f t="shared" si="206"/>
        <v>8511.27</v>
      </c>
      <c r="H912" s="95">
        <f t="shared" si="206"/>
        <v>7998.76</v>
      </c>
    </row>
    <row r="913" spans="1:8" hidden="1" x14ac:dyDescent="0.2">
      <c r="A913" s="91">
        <v>1</v>
      </c>
      <c r="B913" s="93" t="s">
        <v>13</v>
      </c>
      <c r="C913" s="114">
        <f t="shared" ref="C913:H913" si="207">+C841*$L$2</f>
        <v>320.12</v>
      </c>
      <c r="D913" s="94">
        <f t="shared" si="207"/>
        <v>298.39000000000004</v>
      </c>
      <c r="E913" s="94">
        <f t="shared" si="207"/>
        <v>292.03000000000003</v>
      </c>
      <c r="F913" s="94">
        <f t="shared" si="207"/>
        <v>275.60000000000002</v>
      </c>
      <c r="G913" s="94">
        <f t="shared" si="207"/>
        <v>251.22</v>
      </c>
      <c r="H913" s="95">
        <f t="shared" si="207"/>
        <v>148.4</v>
      </c>
    </row>
    <row r="914" spans="1:8" hidden="1" x14ac:dyDescent="0.2">
      <c r="A914" s="91">
        <v>2</v>
      </c>
      <c r="B914" s="93" t="s">
        <v>1</v>
      </c>
      <c r="C914" s="114">
        <f t="shared" ref="C914:H914" si="208">+C842*$L$2</f>
        <v>525.23</v>
      </c>
      <c r="D914" s="94">
        <f t="shared" si="208"/>
        <v>502.97</v>
      </c>
      <c r="E914" s="94">
        <f t="shared" si="208"/>
        <v>492.90000000000003</v>
      </c>
      <c r="F914" s="94">
        <f t="shared" si="208"/>
        <v>464.81</v>
      </c>
      <c r="G914" s="94">
        <f t="shared" si="208"/>
        <v>424</v>
      </c>
      <c r="H914" s="95">
        <f t="shared" si="208"/>
        <v>220.48000000000002</v>
      </c>
    </row>
    <row r="915" spans="1:8" hidden="1" x14ac:dyDescent="0.2">
      <c r="A915" s="91">
        <v>3</v>
      </c>
      <c r="B915" s="93" t="s">
        <v>14</v>
      </c>
      <c r="C915" s="114">
        <f t="shared" ref="C915:H915" si="209">+C843*$L$2</f>
        <v>769.56000000000006</v>
      </c>
      <c r="D915" s="94">
        <f t="shared" si="209"/>
        <v>738.29000000000008</v>
      </c>
      <c r="E915" s="94">
        <f t="shared" si="209"/>
        <v>722.92000000000007</v>
      </c>
      <c r="F915" s="94">
        <f t="shared" si="209"/>
        <v>681.05000000000007</v>
      </c>
      <c r="G915" s="94">
        <f t="shared" si="209"/>
        <v>621.69000000000005</v>
      </c>
      <c r="H915" s="95">
        <f t="shared" si="209"/>
        <v>316.41000000000003</v>
      </c>
    </row>
    <row r="916" spans="1:8" hidden="1" x14ac:dyDescent="0.2">
      <c r="A916" s="91">
        <v>1</v>
      </c>
      <c r="B916" s="93" t="s">
        <v>3</v>
      </c>
      <c r="C916" s="114">
        <f t="shared" ref="C916:H916" si="210">+C844*$L$2</f>
        <v>119.25</v>
      </c>
      <c r="D916" s="94">
        <f t="shared" si="210"/>
        <v>119.25</v>
      </c>
      <c r="E916" s="94">
        <f t="shared" si="210"/>
        <v>119.25</v>
      </c>
      <c r="F916" s="94">
        <f t="shared" si="210"/>
        <v>119.25</v>
      </c>
      <c r="G916" s="94">
        <f t="shared" si="210"/>
        <v>119.25</v>
      </c>
      <c r="H916" s="95">
        <f t="shared" si="210"/>
        <v>119.25</v>
      </c>
    </row>
    <row r="917" spans="1:8" ht="13.5" hidden="1" thickBot="1" x14ac:dyDescent="0.25">
      <c r="A917" s="98">
        <v>1</v>
      </c>
      <c r="B917" s="99" t="s">
        <v>2</v>
      </c>
      <c r="C917" s="121">
        <f t="shared" ref="C917:H917" si="211">+C845*$L$2</f>
        <v>132.5</v>
      </c>
      <c r="D917" s="100">
        <f t="shared" si="211"/>
        <v>159</v>
      </c>
      <c r="E917" s="100">
        <f t="shared" si="211"/>
        <v>159</v>
      </c>
      <c r="F917" s="100">
        <f t="shared" si="211"/>
        <v>159</v>
      </c>
      <c r="G917" s="100">
        <f t="shared" si="211"/>
        <v>159</v>
      </c>
      <c r="H917" s="101">
        <f t="shared" si="211"/>
        <v>159</v>
      </c>
    </row>
    <row r="918" spans="1:8" hidden="1" x14ac:dyDescent="0.2"/>
  </sheetData>
  <sheetProtection password="9A3C" sheet="1" objects="1" scenarios="1"/>
  <mergeCells count="63">
    <mergeCell ref="A848:B848"/>
    <mergeCell ref="C848:G848"/>
    <mergeCell ref="A774:H774"/>
    <mergeCell ref="A775:H775"/>
    <mergeCell ref="A776:B776"/>
    <mergeCell ref="C776:G776"/>
    <mergeCell ref="A847:H847"/>
    <mergeCell ref="A630:H630"/>
    <mergeCell ref="A631:B631"/>
    <mergeCell ref="C631:G631"/>
    <mergeCell ref="A702:H702"/>
    <mergeCell ref="A703:B703"/>
    <mergeCell ref="C703:G703"/>
    <mergeCell ref="C344:G344"/>
    <mergeCell ref="A416:H416"/>
    <mergeCell ref="A556:H556"/>
    <mergeCell ref="A557:B557"/>
    <mergeCell ref="C557:G557"/>
    <mergeCell ref="A344:B344"/>
    <mergeCell ref="A450:H450"/>
    <mergeCell ref="A451:B451"/>
    <mergeCell ref="C451:G451"/>
    <mergeCell ref="A417:H417"/>
    <mergeCell ref="A418:B418"/>
    <mergeCell ref="C418:G418"/>
    <mergeCell ref="A629:H629"/>
    <mergeCell ref="A483:H483"/>
    <mergeCell ref="A484:H484"/>
    <mergeCell ref="A485:B485"/>
    <mergeCell ref="C485:G485"/>
    <mergeCell ref="A69:H69"/>
    <mergeCell ref="A103:H103"/>
    <mergeCell ref="A104:B104"/>
    <mergeCell ref="C104:G104"/>
    <mergeCell ref="A343:H343"/>
    <mergeCell ref="A270:H270"/>
    <mergeCell ref="A271:H271"/>
    <mergeCell ref="A272:B272"/>
    <mergeCell ref="C272:G272"/>
    <mergeCell ref="C171:G171"/>
    <mergeCell ref="A203:H203"/>
    <mergeCell ref="A237:H237"/>
    <mergeCell ref="A238:B238"/>
    <mergeCell ref="C238:G238"/>
    <mergeCell ref="A205:B205"/>
    <mergeCell ref="C205:G205"/>
    <mergeCell ref="A136:H136"/>
    <mergeCell ref="A70:H70"/>
    <mergeCell ref="A71:B71"/>
    <mergeCell ref="C71:G71"/>
    <mergeCell ref="A204:H204"/>
    <mergeCell ref="A137:H137"/>
    <mergeCell ref="A138:B138"/>
    <mergeCell ref="C138:G138"/>
    <mergeCell ref="A170:H170"/>
    <mergeCell ref="A171:B171"/>
    <mergeCell ref="A2:H2"/>
    <mergeCell ref="A3:H3"/>
    <mergeCell ref="A37:B37"/>
    <mergeCell ref="C37:G37"/>
    <mergeCell ref="A36:H36"/>
    <mergeCell ref="A4:B4"/>
    <mergeCell ref="C4:G4"/>
  </mergeCells>
  <phoneticPr fontId="5" type="noConversion"/>
  <pageMargins left="0.74803149606299213" right="0.74803149606299213" top="0.98425196850393704" bottom="0.98425196850393704" header="0.51181102362204722" footer="0.51181102362204722"/>
  <pageSetup paperSize="9" orientation="landscape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2E3D0F8C69364791621063129395E4" ma:contentTypeVersion="2" ma:contentTypeDescription="Crear nuevo documento." ma:contentTypeScope="" ma:versionID="99b0a130a84fc7232d3dbbebb5401821">
  <xsd:schema xmlns:xsd="http://www.w3.org/2001/XMLSchema" xmlns:xs="http://www.w3.org/2001/XMLSchema" xmlns:p="http://schemas.microsoft.com/office/2006/metadata/properties" xmlns:ns2="897d4679-18d4-4192-a0cc-f43d4ea36378" targetNamespace="http://schemas.microsoft.com/office/2006/metadata/properties" ma:root="true" ma:fieldsID="ca0a6024c11df7681216cf85007c1909" ns2:_="">
    <xsd:import namespace="897d4679-18d4-4192-a0cc-f43d4ea3637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d4679-18d4-4192-a0cc-f43d4ea363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89ABB47-5262-4FA1-A6A7-FF2226EC27F6}"/>
</file>

<file path=customXml/itemProps2.xml><?xml version="1.0" encoding="utf-8"?>
<ds:datastoreItem xmlns:ds="http://schemas.openxmlformats.org/officeDocument/2006/customXml" ds:itemID="{2E4F349C-20E2-4090-8067-3AE1C43BC017}"/>
</file>

<file path=customXml/itemProps3.xml><?xml version="1.0" encoding="utf-8"?>
<ds:datastoreItem xmlns:ds="http://schemas.openxmlformats.org/officeDocument/2006/customXml" ds:itemID="{9D99DEA6-8C5D-4DB6-87E8-77992C2D05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INGRESO DE DATOS</vt:lpstr>
      <vt:lpstr>Complete</vt:lpstr>
      <vt:lpstr>Secure</vt:lpstr>
      <vt:lpstr>Premium</vt:lpstr>
      <vt:lpstr>Advantage (LA)</vt:lpstr>
      <vt:lpstr>Classic</vt:lpstr>
      <vt:lpstr>Blue 500</vt:lpstr>
      <vt:lpstr>Blue 100</vt:lpstr>
      <vt:lpstr>Resumen tarifas anuales</vt:lpstr>
      <vt:lpstr>Tablas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Galarza</dc:creator>
  <cp:lastModifiedBy>Jennifer Wiesner</cp:lastModifiedBy>
  <cp:lastPrinted>2012-11-21T19:21:32Z</cp:lastPrinted>
  <dcterms:created xsi:type="dcterms:W3CDTF">2005-02-05T20:47:31Z</dcterms:created>
  <dcterms:modified xsi:type="dcterms:W3CDTF">2015-06-05T14:57:12Z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0x0101008A2E3D0F8C69364791621063129395E4</vt:lpwstr>
  </property>
</Properties>
</file>